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551XED\Desktop\KKW\20. 외환총괄팀\102 외환파생상품거래 리스크 관리기준 개정\250522 법무국 피드백\법무국 피드백2\"/>
    </mc:Choice>
  </mc:AlternateContent>
  <xr:revisionPtr revIDLastSave="0" documentId="13_ncr:1_{CDEDEF77-61C1-4F5B-9C27-02C53EA3F5FA}" xr6:coauthVersionLast="37" xr6:coauthVersionMax="47" xr10:uidLastSave="{00000000-0000-0000-0000-000000000000}"/>
  <bookViews>
    <workbookView xWindow="-105" yWindow="-105" windowWidth="21000" windowHeight="13170" tabRatio="805" xr2:uid="{00000000-000D-0000-FFFF-FFFF00000000}"/>
  </bookViews>
  <sheets>
    <sheet name="(19) 만기별 외화자금 유출입현황_개정전" sheetId="49" r:id="rId1"/>
    <sheet name="(19) 만기별 외화자금 유출입현황_개정후 " sheetId="51" r:id="rId2"/>
  </sheets>
  <definedNames>
    <definedName name="_xlnm.Print_Area" localSheetId="0">'(19) 만기별 외화자금 유출입현황_개정전'!$A$1:$S$91</definedName>
    <definedName name="_xlnm.Print_Area" localSheetId="1">'(19) 만기별 외화자금 유출입현황_개정후 '!$A$1:$T$116</definedName>
  </definedNames>
  <calcPr calcId="179021"/>
</workbook>
</file>

<file path=xl/calcChain.xml><?xml version="1.0" encoding="utf-8"?>
<calcChain xmlns="http://schemas.openxmlformats.org/spreadsheetml/2006/main">
  <c r="R47" i="51" l="1"/>
  <c r="K47" i="51"/>
  <c r="H47" i="51"/>
  <c r="I47" i="51"/>
  <c r="J47" i="51"/>
  <c r="L47" i="51"/>
  <c r="M47" i="51"/>
  <c r="N47" i="51"/>
  <c r="O47" i="51"/>
  <c r="P47" i="51"/>
  <c r="Q47" i="51"/>
  <c r="G47" i="51"/>
  <c r="G39" i="51"/>
  <c r="G43" i="51"/>
  <c r="G52" i="51"/>
  <c r="G48" i="51"/>
  <c r="G33" i="51"/>
  <c r="G29" i="51"/>
  <c r="R29" i="51"/>
  <c r="Q29" i="51"/>
  <c r="P29" i="51"/>
  <c r="O29" i="51"/>
  <c r="N29" i="51"/>
  <c r="M29" i="51"/>
  <c r="L29" i="51"/>
  <c r="K29" i="51"/>
  <c r="J29" i="51"/>
  <c r="I29" i="51"/>
  <c r="H29" i="51"/>
  <c r="R24" i="51"/>
  <c r="Q24" i="51"/>
  <c r="P24" i="51"/>
  <c r="O24" i="51"/>
  <c r="N24" i="51"/>
  <c r="M24" i="51"/>
  <c r="L24" i="51"/>
  <c r="K24" i="51"/>
  <c r="J24" i="51"/>
  <c r="G24" i="51"/>
  <c r="I15" i="51"/>
  <c r="I24" i="51" s="1"/>
  <c r="H15" i="51"/>
  <c r="H24" i="51" s="1"/>
  <c r="G15" i="51"/>
  <c r="I12" i="51"/>
  <c r="H12" i="51"/>
  <c r="G12" i="51"/>
  <c r="R43" i="51" l="1"/>
  <c r="P43" i="51"/>
  <c r="M43" i="51"/>
  <c r="L43" i="51"/>
  <c r="K43" i="51"/>
  <c r="J43" i="51"/>
  <c r="Q43" i="51"/>
  <c r="R39" i="51"/>
  <c r="Q39" i="51"/>
  <c r="P39" i="51"/>
  <c r="O43" i="51"/>
  <c r="N43" i="51"/>
  <c r="O39" i="51"/>
  <c r="N39" i="51"/>
  <c r="M39" i="51"/>
  <c r="L39" i="51"/>
  <c r="K39" i="51"/>
  <c r="J39" i="51"/>
  <c r="I43" i="51"/>
  <c r="H43" i="51"/>
  <c r="I39" i="51"/>
  <c r="H39" i="51"/>
  <c r="R52" i="51" l="1"/>
  <c r="R61" i="51" s="1"/>
  <c r="Q52" i="51"/>
  <c r="P52" i="51"/>
  <c r="O52" i="51"/>
  <c r="N52" i="51"/>
  <c r="M52" i="51"/>
  <c r="L52" i="51"/>
  <c r="K52" i="51"/>
  <c r="J52" i="51"/>
  <c r="I52" i="51"/>
  <c r="H52" i="51"/>
  <c r="R48" i="51"/>
  <c r="Q48" i="51"/>
  <c r="Q61" i="51" s="1"/>
  <c r="P48" i="51"/>
  <c r="O48" i="51"/>
  <c r="O61" i="51" s="1"/>
  <c r="N48" i="51"/>
  <c r="N61" i="51" s="1"/>
  <c r="M48" i="51"/>
  <c r="L48" i="51"/>
  <c r="L61" i="51" s="1"/>
  <c r="K48" i="51"/>
  <c r="J48" i="51"/>
  <c r="I48" i="51"/>
  <c r="I61" i="51" s="1"/>
  <c r="H48" i="51"/>
  <c r="G61" i="51"/>
  <c r="G62" i="51" s="1"/>
  <c r="R33" i="51"/>
  <c r="Q33" i="51"/>
  <c r="P33" i="51"/>
  <c r="O33" i="51"/>
  <c r="N33" i="51"/>
  <c r="M33" i="51"/>
  <c r="L33" i="51"/>
  <c r="K33" i="51"/>
  <c r="J33" i="51"/>
  <c r="I33" i="51"/>
  <c r="H33" i="51"/>
  <c r="Q62" i="51"/>
  <c r="O62" i="51"/>
  <c r="N62" i="51"/>
  <c r="I62" i="51"/>
  <c r="L62" i="51" l="1"/>
  <c r="H61" i="51"/>
  <c r="R62" i="51"/>
  <c r="J61" i="51"/>
  <c r="H62" i="51"/>
  <c r="P61" i="51"/>
  <c r="K62" i="51"/>
  <c r="K61" i="51"/>
  <c r="M61" i="51"/>
  <c r="M62" i="51"/>
  <c r="J62" i="51" l="1"/>
  <c r="P62" i="51"/>
  <c r="R24" i="49"/>
  <c r="Q24" i="49"/>
  <c r="P24" i="49"/>
  <c r="O24" i="49"/>
  <c r="N24" i="49"/>
  <c r="M24" i="49"/>
  <c r="L24" i="49"/>
  <c r="K24" i="49"/>
  <c r="J24" i="49"/>
  <c r="I24" i="49"/>
  <c r="H24" i="49"/>
  <c r="G24" i="49"/>
  <c r="R43" i="49" l="1"/>
  <c r="Q43" i="49"/>
  <c r="P43" i="49"/>
  <c r="O43" i="49"/>
  <c r="N43" i="49"/>
  <c r="M43" i="49"/>
  <c r="L43" i="49"/>
  <c r="K43" i="49"/>
  <c r="J43" i="49"/>
  <c r="I43" i="49"/>
  <c r="H43" i="49"/>
  <c r="G43" i="49"/>
  <c r="R39" i="49"/>
  <c r="R52" i="49" s="1"/>
  <c r="Q39" i="49"/>
  <c r="Q52" i="49" s="1"/>
  <c r="P39" i="49"/>
  <c r="P52" i="49" s="1"/>
  <c r="O39" i="49"/>
  <c r="N39" i="49"/>
  <c r="N52" i="49" s="1"/>
  <c r="M39" i="49"/>
  <c r="M52" i="49" s="1"/>
  <c r="L39" i="49"/>
  <c r="L52" i="49" s="1"/>
  <c r="K39" i="49"/>
  <c r="K52" i="49" s="1"/>
  <c r="J39" i="49"/>
  <c r="J52" i="49" s="1"/>
  <c r="I39" i="49"/>
  <c r="H39" i="49"/>
  <c r="H52" i="49" s="1"/>
  <c r="G39" i="49"/>
  <c r="L38" i="49"/>
  <c r="R33" i="49"/>
  <c r="Q33" i="49"/>
  <c r="P33" i="49"/>
  <c r="O33" i="49"/>
  <c r="N33" i="49"/>
  <c r="M33" i="49"/>
  <c r="L33" i="49"/>
  <c r="K33" i="49"/>
  <c r="J33" i="49"/>
  <c r="I33" i="49"/>
  <c r="H33" i="49"/>
  <c r="G33" i="49"/>
  <c r="R29" i="49"/>
  <c r="R38" i="49" s="1"/>
  <c r="R53" i="49" s="1"/>
  <c r="Q29" i="49"/>
  <c r="Q38" i="49" s="1"/>
  <c r="Q53" i="49" s="1"/>
  <c r="P29" i="49"/>
  <c r="P38" i="49" s="1"/>
  <c r="P53" i="49" s="1"/>
  <c r="O29" i="49"/>
  <c r="O38" i="49" s="1"/>
  <c r="N29" i="49"/>
  <c r="N38" i="49" s="1"/>
  <c r="M29" i="49"/>
  <c r="M38" i="49" s="1"/>
  <c r="L29" i="49"/>
  <c r="K29" i="49"/>
  <c r="K38" i="49" s="1"/>
  <c r="K53" i="49" s="1"/>
  <c r="J29" i="49"/>
  <c r="J38" i="49" s="1"/>
  <c r="J53" i="49" s="1"/>
  <c r="I29" i="49"/>
  <c r="I38" i="49" s="1"/>
  <c r="H29" i="49"/>
  <c r="H38" i="49" s="1"/>
  <c r="H53" i="49" s="1"/>
  <c r="G29" i="49"/>
  <c r="G38" i="49" s="1"/>
  <c r="I15" i="49"/>
  <c r="H15" i="49"/>
  <c r="G15" i="49"/>
  <c r="I12" i="49"/>
  <c r="H12" i="49"/>
  <c r="G12" i="49"/>
  <c r="G52" i="49" l="1"/>
  <c r="G53" i="49" s="1"/>
  <c r="O52" i="49"/>
  <c r="I52" i="49"/>
  <c r="I53" i="49" s="1"/>
  <c r="M53" i="49"/>
  <c r="N53" i="49"/>
  <c r="O53" i="49"/>
  <c r="L53" i="49"/>
</calcChain>
</file>

<file path=xl/sharedStrings.xml><?xml version="1.0" encoding="utf-8"?>
<sst xmlns="http://schemas.openxmlformats.org/spreadsheetml/2006/main" count="257" uniqueCount="116">
  <si>
    <t>통 화</t>
  </si>
  <si>
    <t>현물</t>
    <phoneticPr fontId="4" type="noConversion"/>
  </si>
  <si>
    <t>선물</t>
    <phoneticPr fontId="4" type="noConversion"/>
  </si>
  <si>
    <t>예수금</t>
    <phoneticPr fontId="4" type="noConversion"/>
  </si>
  <si>
    <t>(단위 : 천미달러)</t>
    <phoneticPr fontId="4" type="noConversion"/>
  </si>
  <si>
    <t>1개월 이내</t>
    <phoneticPr fontId="4" type="noConversion"/>
  </si>
  <si>
    <t>3개월 이내</t>
    <phoneticPr fontId="4" type="noConversion"/>
  </si>
  <si>
    <t xml:space="preserve">
외화자금
유출</t>
    <phoneticPr fontId="4" type="noConversion"/>
  </si>
  <si>
    <t>요구불예금</t>
    <phoneticPr fontId="4" type="noConversion"/>
  </si>
  <si>
    <t>정기예금</t>
    <phoneticPr fontId="4" type="noConversion"/>
  </si>
  <si>
    <t>차입금</t>
    <phoneticPr fontId="4" type="noConversion"/>
  </si>
  <si>
    <t>담보부 차입금</t>
    <phoneticPr fontId="4" type="noConversion"/>
  </si>
  <si>
    <t>무담보부 차입금</t>
    <phoneticPr fontId="4" type="noConversion"/>
  </si>
  <si>
    <t>우발채무</t>
    <phoneticPr fontId="4" type="noConversion"/>
  </si>
  <si>
    <t>미지급미결제현물환</t>
    <phoneticPr fontId="4" type="noConversion"/>
  </si>
  <si>
    <t>난내 파생상품</t>
    <phoneticPr fontId="4" type="noConversion"/>
  </si>
  <si>
    <t>난외 파생상품</t>
    <phoneticPr fontId="4" type="noConversion"/>
  </si>
  <si>
    <t>외화자금 유출 합계</t>
    <phoneticPr fontId="4" type="noConversion"/>
  </si>
  <si>
    <t>외화자금
유입</t>
    <phoneticPr fontId="4" type="noConversion"/>
  </si>
  <si>
    <t>(19) 만기별 외화자금 유출입현황</t>
    <phoneticPr fontId="4" type="noConversion"/>
  </si>
  <si>
    <t>잔액</t>
    <phoneticPr fontId="4" type="noConversion"/>
  </si>
  <si>
    <t xml:space="preserve"> 처분제한 없는 예치금</t>
    <phoneticPr fontId="4" type="noConversion"/>
  </si>
  <si>
    <t>(처분제한 있는 예치금)</t>
    <phoneticPr fontId="4" type="noConversion"/>
  </si>
  <si>
    <t>유가증권</t>
    <phoneticPr fontId="4" type="noConversion"/>
  </si>
  <si>
    <t>국공채</t>
    <phoneticPr fontId="4" type="noConversion"/>
  </si>
  <si>
    <t>트레이딩 자산</t>
    <phoneticPr fontId="4" type="noConversion"/>
  </si>
  <si>
    <t>주식</t>
    <phoneticPr fontId="4" type="noConversion"/>
  </si>
  <si>
    <t>채권</t>
    <phoneticPr fontId="4" type="noConversion"/>
  </si>
  <si>
    <t>기타</t>
    <phoneticPr fontId="4" type="noConversion"/>
  </si>
  <si>
    <t>기타 유가증권</t>
    <phoneticPr fontId="4" type="noConversion"/>
  </si>
  <si>
    <t>(처분제한 있는 유가증권)</t>
    <phoneticPr fontId="4" type="noConversion"/>
  </si>
  <si>
    <t>유동성 완충자산 합계 (A)</t>
    <phoneticPr fontId="4" type="noConversion"/>
  </si>
  <si>
    <t>은행간
대출</t>
    <phoneticPr fontId="4" type="noConversion"/>
  </si>
  <si>
    <t>콜론</t>
    <phoneticPr fontId="4" type="noConversion"/>
  </si>
  <si>
    <t>우량</t>
    <phoneticPr fontId="4" type="noConversion"/>
  </si>
  <si>
    <t>양호</t>
    <phoneticPr fontId="4" type="noConversion"/>
  </si>
  <si>
    <t>기타 은행간대출</t>
    <phoneticPr fontId="4" type="noConversion"/>
  </si>
  <si>
    <t>미수미결제현물환</t>
    <phoneticPr fontId="4" type="noConversion"/>
  </si>
  <si>
    <t xml:space="preserve"> 유입 합계 (B)</t>
    <phoneticPr fontId="4" type="noConversion"/>
  </si>
  <si>
    <t>외화자금 유입 합계 (=A+B)</t>
    <phoneticPr fontId="4" type="noConversion"/>
  </si>
  <si>
    <t>(1) 요구불예금 : FX6661 보고서에서 요구불예수금으로 분류되는 예금으로서, 작성 기준일자 잔액을 기재(1개월 및 3개월에 동일한 금액 기재)</t>
    <phoneticPr fontId="4" type="noConversion"/>
  </si>
  <si>
    <t>(2) 정기예금 : FX6661 보고서에서 기타예수금으로 분류되는 예금으로서, 작성 기준일자 잔액을 기재(1개월 및 3개월에 동일한 금액 기재)</t>
    <phoneticPr fontId="4" type="noConversion"/>
  </si>
  <si>
    <t>(3) 담보부 차입금 : FX6661 보고서에서 "일반콜머니+외평콜머니+발행금융채권+일반차입금(RP매도 포함)+외국주주차입금+한국은행단기영업자금" 합계금액 중 담보부 차입에 해당하는 금액으로서, 1개월 및 3개월 이내 만기도래 금액을 누적기준으로 작성</t>
    <phoneticPr fontId="4" type="noConversion"/>
  </si>
  <si>
    <t>(5) 우발채무 : FX6661 보고서에서 확정지급보증(20%) 항목의 금액으로서, 1개월 및 3개월 이내 만기도래 금액을 누적기준으로 작성</t>
    <phoneticPr fontId="4" type="noConversion"/>
  </si>
  <si>
    <t>(6) 미지급미결제현물환 : FX6661 보고서에서 기타 항목에 포함되는 미지급미결제현물환 금액으로서, 1개월 및 3개월 이내 만기도래 금액을 누적기준으로 작성</t>
    <phoneticPr fontId="4" type="noConversion"/>
  </si>
  <si>
    <t xml:space="preserve">   ⑦ 기타 유가증권 중 기타 : 담보제공 등으로 인한 처분제한이 없는 매도가능증권 및 만기보유증권 중 주식 및 채권을 제외한 나머지</t>
    <phoneticPr fontId="4" type="noConversion"/>
  </si>
  <si>
    <t>구분</t>
    <phoneticPr fontId="4" type="noConversion"/>
  </si>
  <si>
    <t>본점(6번 본점종합) + 국외지점(3번)</t>
    <phoneticPr fontId="4" type="noConversion"/>
  </si>
  <si>
    <t>소매예금(개인)</t>
    <phoneticPr fontId="4" type="noConversion"/>
  </si>
  <si>
    <t>도매예금(개인 외)</t>
    <phoneticPr fontId="4" type="noConversion"/>
  </si>
  <si>
    <t>현지법인 
외화대출</t>
    <phoneticPr fontId="4" type="noConversion"/>
  </si>
  <si>
    <t>개인</t>
    <phoneticPr fontId="4" type="noConversion"/>
  </si>
  <si>
    <t>현지법인</t>
    <phoneticPr fontId="4" type="noConversion"/>
  </si>
  <si>
    <t>커미티드라인(유동성관련 제한조건이 없는 경우)</t>
    <phoneticPr fontId="4" type="noConversion"/>
  </si>
  <si>
    <t>커미티드라인(유동성관련 제한조건 있는 경우)</t>
    <phoneticPr fontId="4" type="noConversion"/>
  </si>
  <si>
    <t>&lt;작성요령&gt;</t>
    <phoneticPr fontId="4" type="noConversion"/>
  </si>
  <si>
    <t xml:space="preserve">   ① 소매예금은 개인고객 예금(개인사업자 제외), 작성 기준일자 잔액을 기재(1개월 및 3개월에 동일한 금액 기재, 현행기준(9번 전체종합)만 작성)</t>
    <phoneticPr fontId="4" type="noConversion"/>
  </si>
  <si>
    <t xml:space="preserve">   ② 도매예금은 소매얘금(개인고객 예금)을 제외한 예금, 작성 기준일자 잔액을 기재(1개월 및 3개월에 동일한 금액 기재, 현행기준(9번 전체종합)만 작성)</t>
    <phoneticPr fontId="4" type="noConversion"/>
  </si>
  <si>
    <t>(4) 무담보부 차입금 : FX6661 보고서에서 "일반콜머니+외평콜머니+발행금융채권+일반차입금(RP매도 포함)+외국주주차입금+한국은행단기영업자금" 합계금액 중 무담보부 차입에 해당하는 금액으로서, 1개월 및 3개월 이내 만기도래 금액을 누적기준으로 작성</t>
    <phoneticPr fontId="4" type="noConversion"/>
  </si>
  <si>
    <t>(7) 난내 파생상품 : FX6661 보고서에서 기타 항목에 포함되는 파생상품평가부채 금액으로서, 1개월 및 3개월 이내 만기도래 금액을 누적기준으로 작성</t>
    <phoneticPr fontId="4" type="noConversion"/>
  </si>
  <si>
    <t>(8) 난외 파생상품 : FX6661 보고서에서 선물부채 합계 금액으로서, 1개월 및 3개월 이내 만기도래 금액을 누적기준으로 작성</t>
    <phoneticPr fontId="4" type="noConversion"/>
  </si>
  <si>
    <t xml:space="preserve">(9) 통화 : FX6661 보고서에서 통화에 해당하는 금액으로서 작성 기준일자 잔액을 기재(1개월 및 3개월에 동일한 금액 기재) </t>
    <phoneticPr fontId="4" type="noConversion"/>
  </si>
  <si>
    <t>(10) 처분제한 없는 예치금 : FX6661 보고서의 예치금 중 담보제공 등으로 인한 처분제한이 없는 예치금으로서, 작성 기준일자 잔액을 기재(1개월 및 3개월에 동일한 금액 기재)</t>
    <phoneticPr fontId="4" type="noConversion"/>
  </si>
  <si>
    <t xml:space="preserve">      처분제한 있는 예치금 : FX6661 보고서의 예치금 중 담보제공 등으로 인한 처분제한이 있는 예치금(잔액 대사용으로 월별 inflow에 미포함)</t>
    <phoneticPr fontId="4" type="noConversion"/>
  </si>
  <si>
    <t>(11) 유가증권 (작성 기준일자 잔액을 기재, 1개월 및 3개월에 동일한 금액 기재)</t>
    <phoneticPr fontId="4" type="noConversion"/>
  </si>
  <si>
    <t xml:space="preserve">   ① 유가증권은 난내 유가증권만 기재 (외화LCR 규제에서 고유동성 자산으로 인정되는 외화RP매수시 담보로 제공받은 유가증권은 제외)</t>
    <phoneticPr fontId="4" type="noConversion"/>
  </si>
  <si>
    <t xml:space="preserve">   ② 국공채 : 외화LCR Level 1 자산의 "0% 위험가중치 적용 유가증권" 중 채권 해당액</t>
    <phoneticPr fontId="4" type="noConversion"/>
  </si>
  <si>
    <t xml:space="preserve">   ③ 트레이딩 자산 : 담보제공 등으로 인한 처분제한이 없는 당기손익인식증권 [②국공채(외화LCR Level 1 자산의 "0% 위험가중치 적용 유가증권" 중 채권 해당액) 제외]</t>
    <phoneticPr fontId="4" type="noConversion"/>
  </si>
  <si>
    <t xml:space="preserve">   ④ 기타 유가증권 : 담보제공 등으로 처분제한이 없는 매도가능증권 및 만기보유증권 [②국공채(외화LCR Level 1 자산의 "0% 위험가중치 적용 유가증권" 중 채권 해당액) 제외]</t>
    <phoneticPr fontId="4" type="noConversion"/>
  </si>
  <si>
    <t xml:space="preserve">   ⑤ 트레이딩 자산 및 기타 유가증권 중 채권 : 외화LCR Level 1 자산 중 "0%가 아닌 위험가중치 적용 채권", Level 2A 및 Level 2B 채권</t>
    <phoneticPr fontId="4" type="noConversion"/>
  </si>
  <si>
    <t xml:space="preserve">   ⑥ 트레이딩 자산 중 기타 : 담보제공 등으로 인한 처분제한이 없는 당기손익인식증권 중 주식 및 채권을 제외한 나머지 </t>
    <phoneticPr fontId="4" type="noConversion"/>
  </si>
  <si>
    <t xml:space="preserve">      처분제한 있는 유가증권 : FX6661 보고서의 유가증권 중 담보제공 등으로 인한 처분제한이 있는 유가증권(잔액 대사용으로 월별 inflow에 미포함)</t>
    <phoneticPr fontId="4" type="noConversion"/>
  </si>
  <si>
    <t xml:space="preserve">   ① 콜론 및 기타 은행간대출 금액은 각각 FX6661 보고서 금액으로서, 1개월 및 3개월 이내 만기도래 금액을 누적기준으로 작성</t>
    <phoneticPr fontId="4" type="noConversion"/>
  </si>
  <si>
    <t xml:space="preserve">   ② 우량/양호/기타는 은행간대출 거래상대방의 적격외부신용평가기관의 신용등급(외화LCR 기준과 동일)을 기준으로 구분 [차주은행(해외법인은 해외법인 자체, 해외지점은 본점 기준)의 신용등급을 적용]</t>
    <phoneticPr fontId="4" type="noConversion"/>
  </si>
  <si>
    <t xml:space="preserve">      - 우량 : 거래상대방 은행의 신용등급이 AA- 이상인 경우</t>
    <phoneticPr fontId="4" type="noConversion"/>
  </si>
  <si>
    <t xml:space="preserve">      - 양호 : 거래상대방 은행의 신용등급이 A- 이상인 경우</t>
    <phoneticPr fontId="4" type="noConversion"/>
  </si>
  <si>
    <t xml:space="preserve">      - 기타 : 거래상대방 은행의 신용등급이 A- 미만인 경우</t>
    <phoneticPr fontId="4" type="noConversion"/>
  </si>
  <si>
    <t>(현지기업이 아닌 국내 지상사 등에 대한 대출 제외)</t>
    <phoneticPr fontId="4" type="noConversion"/>
  </si>
  <si>
    <t xml:space="preserve">      - 커미티드라인 약정을 유동성관련 제한조건 유무에 따라 금액을 분류하여 작성</t>
    <phoneticPr fontId="4" type="noConversion"/>
  </si>
  <si>
    <t xml:space="preserve">      - 커미티드라인 약정에 LCR비율 하락 시 계약종료 또는 축소 등의 제한조건이 있는 경우 유동성관련 제한조건이 있는 경우로 본다</t>
    <phoneticPr fontId="4" type="noConversion"/>
  </si>
  <si>
    <r>
      <t xml:space="preserve">   ① 개인 : 현지법인에서 비거주자 개인에 대출한 금액, </t>
    </r>
    <r>
      <rPr>
        <b/>
        <sz val="11"/>
        <rFont val="맑은 고딕"/>
        <family val="3"/>
        <charset val="129"/>
      </rPr>
      <t>정상여신</t>
    </r>
    <r>
      <rPr>
        <sz val="11"/>
        <rFont val="맑은 고딕"/>
        <family val="3"/>
        <charset val="129"/>
      </rPr>
      <t>에 한하여 작성(1개월 및 3개월에 만기도래 금액을 누적기준으로 작성)</t>
    </r>
    <phoneticPr fontId="4" type="noConversion"/>
  </si>
  <si>
    <r>
      <t xml:space="preserve">   ② 현지기업 : 현지법인에서 현지기업에 대출한 금액, </t>
    </r>
    <r>
      <rPr>
        <b/>
        <sz val="11"/>
        <rFont val="맑은 고딕"/>
        <family val="3"/>
        <charset val="129"/>
      </rPr>
      <t>정상여신</t>
    </r>
    <r>
      <rPr>
        <sz val="11"/>
        <rFont val="맑은 고딕"/>
        <family val="3"/>
        <charset val="129"/>
      </rPr>
      <t>에 한하여 작성(1개월 및 3개월에 만기도래 금액을 누적기준으로 작성)</t>
    </r>
    <phoneticPr fontId="4" type="noConversion"/>
  </si>
  <si>
    <t>현지법인(4번)</t>
    <phoneticPr fontId="4" type="noConversion"/>
  </si>
  <si>
    <t>9번 전체종합</t>
    <phoneticPr fontId="4" type="noConversion"/>
  </si>
  <si>
    <t>미달러화(9번 전체종합)</t>
    <phoneticPr fontId="4" type="noConversion"/>
  </si>
  <si>
    <t>&lt;변경이력&gt;</t>
    <phoneticPr fontId="4" type="noConversion"/>
  </si>
  <si>
    <t>(1) '24.6말 기준부터 국내은행 외화유동성 스트레스테스트 고도화 방안 실시에 따라 전체종합(9번)에 더하여 본점(6번 본점종합)+국외지점(3번), 현지법인(4번), 미달러화(9번 전체종합)별 현황을 추가로 기재</t>
    <phoneticPr fontId="4" type="noConversion"/>
  </si>
  <si>
    <t>유가증권 유형 I(담보로 수취한 유가증권 제외)</t>
    <phoneticPr fontId="4" type="noConversion"/>
  </si>
  <si>
    <t>유가증권 유형 II(담보로 수취한 유가증권)</t>
    <phoneticPr fontId="4" type="noConversion"/>
  </si>
  <si>
    <t xml:space="preserve">   ① 소매예금은 개인고객 예금(개인사업자 제외), 작성 기준일자 잔액을 기재(1개월 및 3개월에 동일한 금액 기재, 9번 전체종합만 작성)</t>
    <phoneticPr fontId="4" type="noConversion"/>
  </si>
  <si>
    <t xml:space="preserve">   ② 도매예금은 소매예금(개인고객 예금)을 제외한 예금, 작성 기준일자 잔액을 기재(1개월 및 3개월에 동일한 금액 기재, 9번 전체종합만 작성)</t>
    <phoneticPr fontId="4" type="noConversion"/>
  </si>
  <si>
    <t>(11) 유가증권 유형 I (유형I에는 외화RP 매수시 담보로 제공받은 유가증권을 제외하고 작성하며, 작성 기준일자 잔액을 기재, 1개월 및 3개월에 동일한 금액 기재)</t>
    <phoneticPr fontId="4" type="noConversion"/>
  </si>
  <si>
    <t>(12) 유가증권 유형 II (유형II에는 외화RP 매수시 담보로 제공받은 유가증권 중 재사용하지 않은건만 작성하며, 작성 기준일자 잔액을 기재하고, 1개월 및 3개월 금액에는 외화RP 만기를 감안하여 현금흐름 작성)</t>
    <phoneticPr fontId="4" type="noConversion"/>
  </si>
  <si>
    <t xml:space="preserve">  ① 국공채 : 외화LCR Level 1 자산의 "0% 위험가중치 적용 유가증권" 중 채권 해당액</t>
    <phoneticPr fontId="4" type="noConversion"/>
  </si>
  <si>
    <t xml:space="preserve">  ② 트레이딩 자산 : 담보제공 등으로 인한 처분제한이 없는 당기손익인식증권 [②국공채(외화LCR Level 1 자산의 "0% 위험가중치 적용 유가증권" 중 채권 해당액) 제외]</t>
    <phoneticPr fontId="4" type="noConversion"/>
  </si>
  <si>
    <t xml:space="preserve">  ③ 기타 유가증권 : 담보제공 등으로 처분제한이 없는 매도가능증권 및 만기보유증권 [②국공채(외화LCR Level 1 자산의 "0% 위험가중치 적용 유가증권" 중 채권 해당액) 제외]</t>
    <phoneticPr fontId="4" type="noConversion"/>
  </si>
  <si>
    <t xml:space="preserve">  ④ 트레이딩 자산 및 기타 유가증권 중 채권 : 외화LCR Level 1 자산 중 "0%가 아닌 위험가중치 적용 채권", Level 2A 및 Level 2B 채권</t>
    <phoneticPr fontId="4" type="noConversion"/>
  </si>
  <si>
    <t xml:space="preserve">  ⑤ 트레이딩 자산 중 기타 : 담보제공 등으로 인한 처분제한이 없는 당기손익인식증권 중 주식 및 채권을 제외한 나머지 </t>
    <phoneticPr fontId="4" type="noConversion"/>
  </si>
  <si>
    <t xml:space="preserve">  ⑥ 기타 유가증권 중 기타 : 담보제공 등으로 인한 처분제한이 없는 매도가능증권 및 만기보유증권 중 주식 및 채권을 제외한 나머지</t>
    <phoneticPr fontId="4" type="noConversion"/>
  </si>
  <si>
    <r>
      <rPr>
        <sz val="11"/>
        <color rgb="FFFF0000"/>
        <rFont val="맑은 고딕"/>
        <family val="3"/>
        <charset val="129"/>
      </rPr>
      <t xml:space="preserve">(13) </t>
    </r>
    <r>
      <rPr>
        <sz val="11"/>
        <rFont val="맑은 고딕"/>
        <family val="3"/>
        <charset val="129"/>
      </rPr>
      <t>은행간대출</t>
    </r>
    <phoneticPr fontId="4" type="noConversion"/>
  </si>
  <si>
    <t xml:space="preserve">   ① 개인 : 현지법인에서 비거주자 개인에 대출한 금액, 정상여신에 한하여 작성(1개월 및 3개월에 만기도래 금액을 누적기준으로 작성)</t>
    <phoneticPr fontId="4" type="noConversion"/>
  </si>
  <si>
    <t xml:space="preserve">   ② 현지기업 : 현지법인에서 현지기업에 대출한 금액, 정상여신에 한하여 작성(1개월 및 3개월에 만기도래 금액을 누적기준으로 작성)</t>
    <phoneticPr fontId="4" type="noConversion"/>
  </si>
  <si>
    <r>
      <rPr>
        <sz val="11"/>
        <color rgb="FFFF0000"/>
        <rFont val="맑은 고딕"/>
        <family val="3"/>
        <charset val="129"/>
      </rPr>
      <t xml:space="preserve">(15) </t>
    </r>
    <r>
      <rPr>
        <sz val="11"/>
        <color theme="1"/>
        <rFont val="맑은 고딕"/>
        <family val="3"/>
        <charset val="129"/>
      </rPr>
      <t>미수미결제현물환 : FX6661 보고서에서 기타 항목에 포함되는 미수미결제현물환 금액으로서,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</si>
  <si>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 xml:space="preserve">(16) </t>
    </r>
    <r>
      <rPr>
        <sz val="11"/>
        <color theme="1"/>
        <rFont val="맑은 고딕"/>
        <family val="3"/>
        <charset val="129"/>
      </rPr>
      <t>난내 파생상품 : FX6661 보고서에서 기타 항목에 포함되는 파생상품평가자산 금액으로서,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</si>
  <si>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 xml:space="preserve">(17) </t>
    </r>
    <r>
      <rPr>
        <sz val="11"/>
        <color theme="1"/>
        <rFont val="맑은 고딕"/>
        <family val="3"/>
        <charset val="129"/>
      </rPr>
      <t>난외 파생상품 : FX6661 보고서에서 선물자산 합계 금액으로서,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</si>
  <si>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 xml:space="preserve">(18) </t>
    </r>
    <r>
      <rPr>
        <sz val="11"/>
        <color theme="1"/>
        <rFont val="맑은 고딕"/>
        <family val="3"/>
        <charset val="129"/>
      </rPr>
      <t>커미티드라인 : 누적 만기도래 금액을 반영한 1개월 및 3개월 이내 미사용잔액</t>
    </r>
    <phoneticPr fontId="4" type="noConversion"/>
  </si>
  <si>
    <t>[변경이력]</t>
    <phoneticPr fontId="4" type="noConversion"/>
  </si>
  <si>
    <t>24.6말 기준부터 국내은행 외화유동성 스트레스테스트 고도화 방안 실시에 따라 전체종합(9번)에 더하여 본점(6번 본점종합)+국외지점(3번), 현지법인(4번), 미달러화(9번 전체종합)별 현황을 추가로 기재</t>
    <phoneticPr fontId="4" type="noConversion"/>
  </si>
  <si>
    <t>25.6말 기준부터 외화RP 매수시 담보로 수취한 고유동성자산을 현금유입에 포함함에 따라 변동(제도 적용은 25.3말부터, 업무보고서 양식은 25.6말부터 변경됨)</t>
    <phoneticPr fontId="40" type="noConversion"/>
  </si>
  <si>
    <r>
      <rPr>
        <sz val="11"/>
        <color rgb="FFFF0000"/>
        <rFont val="맑은 고딕"/>
        <family val="3"/>
        <charset val="129"/>
      </rPr>
      <t xml:space="preserve">(14) </t>
    </r>
    <r>
      <rPr>
        <sz val="11"/>
        <color theme="1"/>
        <rFont val="맑은 고딕"/>
        <family val="3"/>
        <charset val="129"/>
      </rPr>
      <t>현지법인 외화대출 : "현지법인"의 비거주자 개인, 현지기업에 대한 외화대출 중 정상여신만 작성대상으로, 1개월 및 3개월 이내 만기도래 금액을 누적기준으로 작성(현지기업이 아닌 국내 지상사 등에 대한 대출 제외)</t>
    </r>
    <phoneticPr fontId="4" type="noConversion"/>
  </si>
  <si>
    <r>
      <rPr>
        <sz val="11"/>
        <color rgb="FFFF0000"/>
        <rFont val="맑은 고딕"/>
        <family val="3"/>
        <charset val="129"/>
      </rPr>
      <t>(12)</t>
    </r>
    <r>
      <rPr>
        <sz val="11"/>
        <rFont val="맑은 고딕"/>
        <family val="3"/>
        <charset val="129"/>
      </rPr>
      <t xml:space="preserve"> 은행간대출</t>
    </r>
    <phoneticPr fontId="4" type="noConversion"/>
  </si>
  <si>
    <r>
      <rPr>
        <sz val="11"/>
        <color rgb="FFFF0000"/>
        <rFont val="맑은 고딕"/>
        <family val="3"/>
        <charset val="129"/>
      </rPr>
      <t>(13)</t>
    </r>
    <r>
      <rPr>
        <sz val="11"/>
        <rFont val="맑은 고딕"/>
        <family val="3"/>
        <charset val="129"/>
      </rPr>
      <t xml:space="preserve"> 현지법인 외화대출 : "현지법인"의 비거주자 개인, 현지기업에 대한 외화대출 중 </t>
    </r>
    <r>
      <rPr>
        <b/>
        <sz val="11"/>
        <rFont val="맑은 고딕"/>
        <family val="3"/>
        <charset val="129"/>
      </rPr>
      <t>정상여신</t>
    </r>
    <r>
      <rPr>
        <sz val="11"/>
        <rFont val="맑은 고딕"/>
        <family val="3"/>
        <charset val="129"/>
      </rPr>
      <t>만 작성대상으로,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</si>
  <si>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>(14)</t>
    </r>
    <r>
      <rPr>
        <sz val="11"/>
        <rFont val="맑은 고딕"/>
        <family val="3"/>
        <charset val="129"/>
      </rPr>
      <t xml:space="preserve"> 미수미결제현물환 : FX6661 보고서에서 기타 항목에 포함되는 미수미결제현물환 금액으로서,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</si>
  <si>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>(15)</t>
    </r>
    <r>
      <rPr>
        <sz val="11"/>
        <rFont val="맑은 고딕"/>
        <family val="3"/>
        <charset val="129"/>
      </rPr>
      <t xml:space="preserve"> 난내 파생상품 : FX6661 보고서에서 기타 항목에 포함되는 파생상품평가자산 금액으로서,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</si>
  <si>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>(16)</t>
    </r>
    <r>
      <rPr>
        <sz val="11"/>
        <rFont val="맑은 고딕"/>
        <family val="3"/>
        <charset val="129"/>
      </rPr>
      <t xml:space="preserve"> 난외 파생상품 : FX6661 보고서에서 선물자산 합계 금액으로서, 1개월 및 3개월 이내 만기도래 금액을 누적기준으로 작성</t>
    </r>
    <phoneticPr fontId="4" type="noConversion"/>
  </si>
  <si>
    <r>
      <rPr>
        <sz val="11"/>
        <color rgb="FFFF0000"/>
        <rFont val="맑은 고딕"/>
        <family val="3"/>
        <charset val="129"/>
      </rPr>
      <t>(17)</t>
    </r>
    <r>
      <rPr>
        <sz val="11"/>
        <rFont val="맑은 고딕"/>
        <family val="3"/>
        <charset val="129"/>
      </rPr>
      <t xml:space="preserve"> 커미티드라인 : 누적 만기도래 금액을 반영한 1개월 및 3개월 이내 미사용잔액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</si>
</sst>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,##0.00&quot; $&quot;;\-#,##0.00&quot; $&quot;"/>
    <numFmt numFmtId="179" formatCode="_ &quot;₩&quot;* #,##0_ ;_ &quot;₩&quot;* \-#,##0_ ;_ &quot;₩&quot;* &quot;-&quot;_ ;_ @_ "/>
    <numFmt numFmtId="180" formatCode="_ &quot;₩&quot;* #,##0.00_ ;_ &quot;₩&quot;* \-#,##0.00_ ;_ &quot;₩&quot;* &quot;-&quot;??_ ;_ @_ "/>
    <numFmt numFmtId="181" formatCode="mmm\.yy"/>
    <numFmt numFmtId="182" formatCode="_ &quot;₩&quot;* #,##0.00_ ;_ &quot;₩&quot;* &quot;₩&quot;\-#,##0.00_ ;_ &quot;₩&quot;* &quot;-&quot;??_ ;_ @_ "/>
    <numFmt numFmtId="183" formatCode="_(&quot;$&quot;* #,##0_);_(&quot;$&quot;* \(#,##0\);_(&quot;$&quot;* &quot;-&quot;??_);_(@_)"/>
  </numFmts>
  <fonts count="45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5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 diagonalUp="1"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 diagonalUp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 diagonalUp="1"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 style="thin">
        <color indexed="8"/>
      </diagonal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 diagonalUp="1">
      <left/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 diagonalUp="1">
      <left style="thin">
        <color indexed="8"/>
      </left>
      <right/>
      <top style="thin">
        <color indexed="8"/>
      </top>
      <bottom style="thin">
        <color indexed="8"/>
      </bottom>
      <diagonal style="thin">
        <color indexed="8"/>
      </diagonal>
    </border>
    <border diagonalUp="1">
      <left/>
      <right/>
      <top style="thin">
        <color indexed="8"/>
      </top>
      <bottom style="thin">
        <color indexed="8"/>
      </bottom>
      <diagonal style="thin">
        <color indexed="8"/>
      </diagonal>
    </border>
    <border diagonalUp="1">
      <left/>
      <right style="medium">
        <color indexed="64"/>
      </right>
      <top style="thin">
        <color indexed="8"/>
      </top>
      <bottom style="thin">
        <color indexed="8"/>
      </bottom>
      <diagonal style="thin">
        <color indexed="8"/>
      </diagonal>
    </border>
  </borders>
  <cellStyleXfs count="7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 applyFont="0" applyFill="0" applyBorder="0" applyAlignment="0" applyProtection="0"/>
    <xf numFmtId="181" fontId="5" fillId="0" borderId="0"/>
    <xf numFmtId="0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/>
    <xf numFmtId="182" fontId="5" fillId="0" borderId="0"/>
    <xf numFmtId="38" fontId="14" fillId="16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10" fontId="14" fillId="17" borderId="3" applyNumberFormat="0" applyBorder="0" applyAlignment="0" applyProtection="0"/>
    <xf numFmtId="0" fontId="17" fillId="0" borderId="4"/>
    <xf numFmtId="183" fontId="9" fillId="0" borderId="0"/>
    <xf numFmtId="0" fontId="13" fillId="0" borderId="0"/>
    <xf numFmtId="10" fontId="13" fillId="0" borderId="0" applyFont="0" applyFill="0" applyBorder="0" applyAlignment="0" applyProtection="0"/>
    <xf numFmtId="0" fontId="17" fillId="0" borderId="0"/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22" borderId="5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23" borderId="6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8" fillId="0" borderId="0"/>
    <xf numFmtId="0" fontId="32" fillId="0" borderId="0" applyNumberFormat="0" applyFill="0" applyBorder="0" applyAlignment="0" applyProtection="0">
      <alignment vertical="center"/>
    </xf>
    <xf numFmtId="0" fontId="30" fillId="25" borderId="7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7" fillId="22" borderId="13" applyNumberFormat="0" applyAlignment="0" applyProtection="0">
      <alignment vertical="center"/>
    </xf>
    <xf numFmtId="176" fontId="9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8" fillId="0" borderId="0">
      <alignment vertical="center"/>
    </xf>
  </cellStyleXfs>
  <cellXfs count="150">
    <xf numFmtId="0" fontId="0" fillId="0" borderId="0" xfId="0">
      <alignment vertical="center"/>
    </xf>
    <xf numFmtId="0" fontId="6" fillId="26" borderId="0" xfId="0" applyFont="1" applyFill="1">
      <alignment vertical="center"/>
    </xf>
    <xf numFmtId="0" fontId="6" fillId="26" borderId="0" xfId="0" applyFont="1" applyFill="1" applyBorder="1">
      <alignment vertical="center"/>
    </xf>
    <xf numFmtId="0" fontId="35" fillId="26" borderId="0" xfId="0" applyFont="1" applyFill="1" applyBorder="1" applyAlignment="1">
      <alignment vertical="center"/>
    </xf>
    <xf numFmtId="0" fontId="36" fillId="26" borderId="0" xfId="0" applyFont="1" applyFill="1" applyBorder="1" applyAlignment="1">
      <alignment vertical="center"/>
    </xf>
    <xf numFmtId="0" fontId="37" fillId="26" borderId="0" xfId="0" applyFont="1" applyFill="1" applyBorder="1" applyAlignment="1">
      <alignment horizontal="right" vertical="center"/>
    </xf>
    <xf numFmtId="0" fontId="6" fillId="26" borderId="0" xfId="0" applyFont="1" applyFill="1" applyBorder="1" applyAlignment="1">
      <alignment vertical="center"/>
    </xf>
    <xf numFmtId="0" fontId="6" fillId="26" borderId="0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right" vertical="center"/>
    </xf>
    <xf numFmtId="0" fontId="6" fillId="26" borderId="0" xfId="0" applyFont="1" applyFill="1" applyBorder="1" applyAlignment="1">
      <alignment vertical="center" wrapText="1"/>
    </xf>
    <xf numFmtId="0" fontId="6" fillId="26" borderId="28" xfId="0" applyFont="1" applyFill="1" applyBorder="1" applyAlignment="1">
      <alignment vertical="center" wrapText="1"/>
    </xf>
    <xf numFmtId="0" fontId="6" fillId="26" borderId="28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9" fillId="0" borderId="0" xfId="0" applyFont="1">
      <alignment vertical="center"/>
    </xf>
    <xf numFmtId="0" fontId="6" fillId="26" borderId="14" xfId="0" applyFont="1" applyFill="1" applyBorder="1" applyAlignment="1">
      <alignment horizontal="center" vertical="center" wrapText="1"/>
    </xf>
    <xf numFmtId="0" fontId="6" fillId="26" borderId="29" xfId="0" applyFont="1" applyFill="1" applyBorder="1" applyAlignment="1">
      <alignment horizontal="left" vertical="center"/>
    </xf>
    <xf numFmtId="41" fontId="6" fillId="27" borderId="37" xfId="56" applyFont="1" applyFill="1" applyBorder="1" applyAlignment="1">
      <alignment horizontal="center" vertical="center" wrapText="1"/>
    </xf>
    <xf numFmtId="41" fontId="6" fillId="27" borderId="22" xfId="56" applyFont="1" applyFill="1" applyBorder="1" applyAlignment="1">
      <alignment horizontal="center" vertical="center" wrapText="1"/>
    </xf>
    <xf numFmtId="41" fontId="6" fillId="27" borderId="38" xfId="56" applyFont="1" applyFill="1" applyBorder="1" applyAlignment="1">
      <alignment horizontal="center" vertical="center" wrapText="1"/>
    </xf>
    <xf numFmtId="41" fontId="6" fillId="0" borderId="37" xfId="56" applyFont="1" applyFill="1" applyBorder="1" applyAlignment="1">
      <alignment horizontal="center" vertical="center" wrapText="1"/>
    </xf>
    <xf numFmtId="41" fontId="6" fillId="0" borderId="14" xfId="56" applyFont="1" applyFill="1" applyBorder="1" applyAlignment="1">
      <alignment horizontal="center" vertical="center" wrapText="1"/>
    </xf>
    <xf numFmtId="41" fontId="6" fillId="0" borderId="39" xfId="56" applyFont="1" applyFill="1" applyBorder="1" applyAlignment="1">
      <alignment horizontal="center" vertical="center" wrapText="1"/>
    </xf>
    <xf numFmtId="41" fontId="6" fillId="28" borderId="40" xfId="56" applyFont="1" applyFill="1" applyBorder="1" applyAlignment="1">
      <alignment horizontal="center" vertical="center" wrapText="1"/>
    </xf>
    <xf numFmtId="41" fontId="6" fillId="28" borderId="41" xfId="56" applyFont="1" applyFill="1" applyBorder="1" applyAlignment="1">
      <alignment horizontal="center" vertical="center" wrapText="1"/>
    </xf>
    <xf numFmtId="41" fontId="6" fillId="28" borderId="42" xfId="56" applyFont="1" applyFill="1" applyBorder="1" applyAlignment="1">
      <alignment horizontal="center" vertical="center" wrapText="1"/>
    </xf>
    <xf numFmtId="41" fontId="6" fillId="0" borderId="37" xfId="56" applyFont="1" applyFill="1" applyBorder="1" applyAlignment="1">
      <alignment horizontal="left" vertical="center" wrapText="1"/>
    </xf>
    <xf numFmtId="41" fontId="6" fillId="27" borderId="44" xfId="56" applyFont="1" applyFill="1" applyBorder="1" applyAlignment="1">
      <alignment horizontal="left" vertical="center" wrapText="1"/>
    </xf>
    <xf numFmtId="41" fontId="6" fillId="27" borderId="26" xfId="56" applyFont="1" applyFill="1" applyBorder="1" applyAlignment="1">
      <alignment horizontal="left" vertical="center" wrapText="1"/>
    </xf>
    <xf numFmtId="41" fontId="6" fillId="27" borderId="45" xfId="56" applyFont="1" applyFill="1" applyBorder="1" applyAlignment="1">
      <alignment horizontal="left" vertical="center" wrapText="1"/>
    </xf>
    <xf numFmtId="41" fontId="6" fillId="0" borderId="46" xfId="56" applyFont="1" applyFill="1" applyBorder="1" applyAlignment="1">
      <alignment horizontal="left" vertical="center" wrapText="1"/>
    </xf>
    <xf numFmtId="41" fontId="6" fillId="0" borderId="3" xfId="56" applyFont="1" applyFill="1" applyBorder="1" applyAlignment="1">
      <alignment horizontal="center" vertical="center" wrapText="1"/>
    </xf>
    <xf numFmtId="41" fontId="6" fillId="0" borderId="47" xfId="56" applyFont="1" applyFill="1" applyBorder="1" applyAlignment="1">
      <alignment horizontal="center" vertical="center" wrapText="1"/>
    </xf>
    <xf numFmtId="41" fontId="6" fillId="0" borderId="48" xfId="56" applyFont="1" applyFill="1" applyBorder="1" applyAlignment="1">
      <alignment horizontal="left" vertical="center"/>
    </xf>
    <xf numFmtId="41" fontId="6" fillId="0" borderId="27" xfId="56" applyFont="1" applyFill="1" applyBorder="1" applyAlignment="1">
      <alignment horizontal="center" vertical="center" wrapText="1"/>
    </xf>
    <xf numFmtId="41" fontId="6" fillId="0" borderId="49" xfId="56" applyFont="1" applyFill="1" applyBorder="1" applyAlignment="1">
      <alignment horizontal="center" vertical="center" wrapText="1"/>
    </xf>
    <xf numFmtId="41" fontId="6" fillId="0" borderId="22" xfId="56" applyFont="1" applyFill="1" applyBorder="1" applyAlignment="1">
      <alignment horizontal="center" vertical="center" wrapText="1"/>
    </xf>
    <xf numFmtId="41" fontId="6" fillId="0" borderId="50" xfId="56" applyFont="1" applyFill="1" applyBorder="1" applyAlignment="1">
      <alignment horizontal="left" vertical="center" wrapText="1"/>
    </xf>
    <xf numFmtId="41" fontId="6" fillId="0" borderId="26" xfId="56" applyFont="1" applyFill="1" applyBorder="1" applyAlignment="1">
      <alignment horizontal="center" vertical="center" wrapText="1"/>
    </xf>
    <xf numFmtId="41" fontId="6" fillId="0" borderId="51" xfId="56" applyFont="1" applyFill="1" applyBorder="1" applyAlignment="1">
      <alignment horizontal="center" vertical="center" wrapText="1"/>
    </xf>
    <xf numFmtId="41" fontId="6" fillId="0" borderId="43" xfId="56" applyFont="1" applyFill="1" applyBorder="1" applyAlignment="1">
      <alignment horizontal="left" vertical="center" wrapText="1"/>
    </xf>
    <xf numFmtId="41" fontId="6" fillId="0" borderId="25" xfId="56" applyFont="1" applyFill="1" applyBorder="1" applyAlignment="1">
      <alignment horizontal="center" vertical="center" wrapText="1"/>
    </xf>
    <xf numFmtId="41" fontId="6" fillId="0" borderId="37" xfId="56" applyFont="1" applyFill="1" applyBorder="1" applyAlignment="1">
      <alignment horizontal="left" vertical="center"/>
    </xf>
    <xf numFmtId="41" fontId="6" fillId="0" borderId="14" xfId="56" applyFont="1" applyFill="1" applyBorder="1">
      <alignment vertical="center"/>
    </xf>
    <xf numFmtId="41" fontId="6" fillId="0" borderId="39" xfId="56" applyFont="1" applyFill="1" applyBorder="1">
      <alignment vertical="center"/>
    </xf>
    <xf numFmtId="41" fontId="6" fillId="0" borderId="52" xfId="56" applyFont="1" applyFill="1" applyBorder="1" applyAlignment="1">
      <alignment horizontal="left" vertical="center"/>
    </xf>
    <xf numFmtId="41" fontId="6" fillId="0" borderId="53" xfId="56" applyFont="1" applyFill="1" applyBorder="1">
      <alignment vertical="center"/>
    </xf>
    <xf numFmtId="41" fontId="6" fillId="0" borderId="54" xfId="56" applyFont="1" applyFill="1" applyBorder="1">
      <alignment vertical="center"/>
    </xf>
    <xf numFmtId="0" fontId="6" fillId="26" borderId="0" xfId="0" applyFont="1" applyFill="1" applyBorder="1" applyAlignment="1">
      <alignment horizontal="left" vertical="center"/>
    </xf>
    <xf numFmtId="0" fontId="35" fillId="26" borderId="0" xfId="0" quotePrefix="1" applyFont="1" applyFill="1" applyBorder="1" applyAlignment="1">
      <alignment vertical="center"/>
    </xf>
    <xf numFmtId="0" fontId="6" fillId="0" borderId="0" xfId="0" applyFont="1" applyFill="1">
      <alignment vertical="center"/>
    </xf>
    <xf numFmtId="0" fontId="6" fillId="0" borderId="3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26" borderId="14" xfId="0" applyFont="1" applyFill="1" applyBorder="1" applyAlignment="1">
      <alignment horizontal="center" vertical="center" wrapText="1"/>
    </xf>
    <xf numFmtId="0" fontId="5" fillId="0" borderId="0" xfId="71">
      <alignment vertical="center"/>
    </xf>
    <xf numFmtId="0" fontId="6" fillId="26" borderId="0" xfId="0" quotePrefix="1" applyFont="1" applyFill="1">
      <alignment vertical="center"/>
    </xf>
    <xf numFmtId="41" fontId="6" fillId="27" borderId="34" xfId="56" applyFont="1" applyFill="1" applyBorder="1" applyAlignment="1">
      <alignment horizontal="left" vertical="center" wrapText="1"/>
    </xf>
    <xf numFmtId="41" fontId="6" fillId="27" borderId="60" xfId="56" applyFont="1" applyFill="1" applyBorder="1" applyAlignment="1">
      <alignment horizontal="left" vertical="center" wrapText="1"/>
    </xf>
    <xf numFmtId="41" fontId="6" fillId="27" borderId="3" xfId="56" applyFont="1" applyFill="1" applyBorder="1" applyAlignment="1">
      <alignment horizontal="left" vertical="center" wrapText="1"/>
    </xf>
    <xf numFmtId="41" fontId="6" fillId="27" borderId="33" xfId="56" applyFont="1" applyFill="1" applyBorder="1" applyAlignment="1">
      <alignment horizontal="left" vertical="center" wrapText="1"/>
    </xf>
    <xf numFmtId="41" fontId="6" fillId="27" borderId="63" xfId="56" applyFont="1" applyFill="1" applyBorder="1" applyAlignment="1">
      <alignment horizontal="left" vertical="center" wrapText="1"/>
    </xf>
    <xf numFmtId="0" fontId="6" fillId="0" borderId="60" xfId="0" applyFont="1" applyFill="1" applyBorder="1" applyAlignment="1">
      <alignment horizontal="center" vertical="center" wrapText="1"/>
    </xf>
    <xf numFmtId="41" fontId="6" fillId="28" borderId="64" xfId="56" applyFont="1" applyFill="1" applyBorder="1" applyAlignment="1">
      <alignment horizontal="center" vertical="center" wrapText="1"/>
    </xf>
    <xf numFmtId="41" fontId="6" fillId="0" borderId="22" xfId="56" applyFont="1" applyFill="1" applyBorder="1" applyAlignment="1">
      <alignment horizontal="left" vertical="center" wrapText="1"/>
    </xf>
    <xf numFmtId="41" fontId="6" fillId="0" borderId="65" xfId="56" applyFont="1" applyFill="1" applyBorder="1" applyAlignment="1">
      <alignment horizontal="left" vertical="center" wrapText="1"/>
    </xf>
    <xf numFmtId="41" fontId="6" fillId="0" borderId="66" xfId="56" applyFont="1" applyFill="1" applyBorder="1" applyAlignment="1">
      <alignment horizontal="left" vertical="center"/>
    </xf>
    <xf numFmtId="41" fontId="6" fillId="27" borderId="65" xfId="56" applyFont="1" applyFill="1" applyBorder="1" applyAlignment="1">
      <alignment horizontal="left" vertical="center" wrapText="1"/>
    </xf>
    <xf numFmtId="41" fontId="6" fillId="0" borderId="67" xfId="56" applyFont="1" applyFill="1" applyBorder="1" applyAlignment="1">
      <alignment horizontal="left" vertical="center" wrapText="1"/>
    </xf>
    <xf numFmtId="41" fontId="6" fillId="0" borderId="27" xfId="56" applyFont="1" applyFill="1" applyBorder="1" applyAlignment="1">
      <alignment horizontal="left" vertical="center" wrapText="1"/>
    </xf>
    <xf numFmtId="41" fontId="6" fillId="0" borderId="22" xfId="56" applyFont="1" applyFill="1" applyBorder="1" applyAlignment="1">
      <alignment horizontal="left" vertical="center"/>
    </xf>
    <xf numFmtId="41" fontId="6" fillId="0" borderId="68" xfId="56" applyFont="1" applyFill="1" applyBorder="1" applyAlignment="1">
      <alignment horizontal="left" vertical="center"/>
    </xf>
    <xf numFmtId="41" fontId="6" fillId="27" borderId="46" xfId="56" applyFont="1" applyFill="1" applyBorder="1" applyAlignment="1">
      <alignment horizontal="left" vertical="center" wrapText="1"/>
    </xf>
    <xf numFmtId="0" fontId="41" fillId="0" borderId="0" xfId="0" applyFont="1" applyFill="1">
      <alignment vertical="center"/>
    </xf>
    <xf numFmtId="0" fontId="1" fillId="0" borderId="0" xfId="71" applyFont="1" applyFill="1" applyAlignment="1">
      <alignment horizontal="left" vertical="center"/>
    </xf>
    <xf numFmtId="0" fontId="41" fillId="0" borderId="0" xfId="0" quotePrefix="1" applyFont="1" applyFill="1">
      <alignment vertical="center"/>
    </xf>
    <xf numFmtId="0" fontId="42" fillId="0" borderId="0" xfId="0" applyFont="1" applyFill="1">
      <alignment vertical="center"/>
    </xf>
    <xf numFmtId="0" fontId="5" fillId="0" borderId="0" xfId="71" applyFill="1">
      <alignment vertical="center"/>
    </xf>
    <xf numFmtId="0" fontId="43" fillId="0" borderId="0" xfId="71" applyFont="1" applyFill="1">
      <alignment vertical="center"/>
    </xf>
    <xf numFmtId="41" fontId="6" fillId="0" borderId="30" xfId="56" applyFont="1" applyFill="1" applyBorder="1" applyAlignment="1">
      <alignment horizontal="center" vertical="center" wrapText="1"/>
    </xf>
    <xf numFmtId="41" fontId="6" fillId="28" borderId="69" xfId="56" applyFont="1" applyFill="1" applyBorder="1" applyAlignment="1">
      <alignment horizontal="center" vertical="center" wrapText="1"/>
    </xf>
    <xf numFmtId="41" fontId="6" fillId="0" borderId="44" xfId="56" applyFont="1" applyFill="1" applyBorder="1" applyAlignment="1">
      <alignment horizontal="center" vertical="center" wrapText="1"/>
    </xf>
    <xf numFmtId="41" fontId="6" fillId="0" borderId="21" xfId="56" applyFont="1" applyFill="1" applyBorder="1" applyAlignment="1">
      <alignment horizontal="center" vertical="center" wrapText="1"/>
    </xf>
    <xf numFmtId="41" fontId="6" fillId="0" borderId="23" xfId="56" applyFont="1" applyFill="1" applyBorder="1" applyAlignment="1">
      <alignment horizontal="center" vertical="center" wrapText="1"/>
    </xf>
    <xf numFmtId="41" fontId="6" fillId="27" borderId="47" xfId="56" applyFont="1" applyFill="1" applyBorder="1" applyAlignment="1">
      <alignment horizontal="left" vertical="center" wrapText="1"/>
    </xf>
    <xf numFmtId="41" fontId="6" fillId="27" borderId="15" xfId="56" applyFont="1" applyFill="1" applyBorder="1" applyAlignment="1">
      <alignment horizontal="left" vertical="center" wrapText="1"/>
    </xf>
    <xf numFmtId="41" fontId="6" fillId="0" borderId="43" xfId="56" applyFont="1" applyFill="1" applyBorder="1" applyAlignment="1">
      <alignment horizontal="center" vertical="center" wrapText="1"/>
    </xf>
    <xf numFmtId="41" fontId="6" fillId="0" borderId="32" xfId="56" applyFont="1" applyFill="1" applyBorder="1" applyAlignment="1">
      <alignment horizontal="center" vertical="center" wrapText="1"/>
    </xf>
    <xf numFmtId="41" fontId="6" fillId="28" borderId="70" xfId="56" applyFont="1" applyFill="1" applyBorder="1" applyAlignment="1">
      <alignment horizontal="center" vertical="center" wrapText="1"/>
    </xf>
    <xf numFmtId="41" fontId="6" fillId="28" borderId="71" xfId="56" applyFont="1" applyFill="1" applyBorder="1" applyAlignment="1">
      <alignment horizontal="center" vertical="center" wrapText="1"/>
    </xf>
    <xf numFmtId="0" fontId="6" fillId="29" borderId="0" xfId="0" applyFont="1" applyFill="1" applyBorder="1" applyAlignment="1">
      <alignment vertical="center" wrapText="1"/>
    </xf>
    <xf numFmtId="0" fontId="6" fillId="29" borderId="28" xfId="0" applyFont="1" applyFill="1" applyBorder="1" applyAlignment="1">
      <alignment vertical="center" wrapText="1"/>
    </xf>
    <xf numFmtId="0" fontId="6" fillId="29" borderId="29" xfId="0" applyFont="1" applyFill="1" applyBorder="1" applyAlignment="1">
      <alignment horizontal="left" vertical="center"/>
    </xf>
    <xf numFmtId="0" fontId="6" fillId="29" borderId="28" xfId="0" applyFont="1" applyFill="1" applyBorder="1" applyAlignment="1">
      <alignment horizontal="left" vertical="center"/>
    </xf>
    <xf numFmtId="0" fontId="6" fillId="26" borderId="32" xfId="0" applyFont="1" applyFill="1" applyBorder="1" applyAlignment="1">
      <alignment horizontal="center" vertical="center" wrapText="1"/>
    </xf>
    <xf numFmtId="0" fontId="6" fillId="26" borderId="2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59" xfId="0" applyFont="1" applyFill="1" applyBorder="1" applyAlignment="1">
      <alignment horizontal="center" vertical="center"/>
    </xf>
    <xf numFmtId="0" fontId="6" fillId="26" borderId="3" xfId="0" applyFont="1" applyFill="1" applyBorder="1" applyAlignment="1">
      <alignment horizontal="left" vertical="center" wrapText="1"/>
    </xf>
    <xf numFmtId="0" fontId="6" fillId="26" borderId="15" xfId="0" applyFont="1" applyFill="1" applyBorder="1" applyAlignment="1">
      <alignment horizontal="left" vertical="center" wrapText="1"/>
    </xf>
    <xf numFmtId="0" fontId="6" fillId="26" borderId="30" xfId="0" applyFont="1" applyFill="1" applyBorder="1" applyAlignment="1">
      <alignment horizontal="center" vertical="center" wrapText="1"/>
    </xf>
    <xf numFmtId="0" fontId="6" fillId="26" borderId="29" xfId="0" applyFont="1" applyFill="1" applyBorder="1" applyAlignment="1">
      <alignment horizontal="center" vertical="center" wrapText="1"/>
    </xf>
    <xf numFmtId="0" fontId="6" fillId="26" borderId="23" xfId="0" applyFont="1" applyFill="1" applyBorder="1" applyAlignment="1">
      <alignment horizontal="center" vertical="center" wrapText="1"/>
    </xf>
    <xf numFmtId="0" fontId="6" fillId="26" borderId="29" xfId="0" applyFont="1" applyFill="1" applyBorder="1" applyAlignment="1">
      <alignment horizontal="left" vertical="center" wrapText="1"/>
    </xf>
    <xf numFmtId="0" fontId="6" fillId="26" borderId="33" xfId="0" applyFont="1" applyFill="1" applyBorder="1" applyAlignment="1">
      <alignment horizontal="left" vertical="center" wrapText="1"/>
    </xf>
    <xf numFmtId="0" fontId="6" fillId="26" borderId="0" xfId="0" applyFont="1" applyFill="1" applyBorder="1" applyAlignment="1">
      <alignment horizontal="left" vertical="center" wrapText="1"/>
    </xf>
    <xf numFmtId="0" fontId="6" fillId="26" borderId="21" xfId="0" applyFont="1" applyFill="1" applyBorder="1" applyAlignment="1">
      <alignment horizontal="center" vertical="center" wrapText="1"/>
    </xf>
    <xf numFmtId="0" fontId="6" fillId="26" borderId="24" xfId="0" applyFont="1" applyFill="1" applyBorder="1" applyAlignment="1">
      <alignment horizontal="center" vertical="center" wrapText="1"/>
    </xf>
    <xf numFmtId="0" fontId="6" fillId="26" borderId="25" xfId="0" applyFont="1" applyFill="1" applyBorder="1" applyAlignment="1">
      <alignment horizontal="center" vertical="center" wrapText="1"/>
    </xf>
    <xf numFmtId="0" fontId="6" fillId="26" borderId="30" xfId="0" applyFont="1" applyFill="1" applyBorder="1" applyAlignment="1">
      <alignment horizontal="left" vertical="center" wrapText="1"/>
    </xf>
    <xf numFmtId="0" fontId="6" fillId="0" borderId="55" xfId="0" applyFont="1" applyFill="1" applyBorder="1" applyAlignment="1">
      <alignment horizontal="center" vertical="center"/>
    </xf>
    <xf numFmtId="0" fontId="6" fillId="0" borderId="5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26" borderId="14" xfId="0" applyFont="1" applyFill="1" applyBorder="1" applyAlignment="1">
      <alignment horizontal="center" vertical="center" wrapText="1"/>
    </xf>
    <xf numFmtId="0" fontId="6" fillId="26" borderId="36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left" vertical="center" wrapText="1"/>
    </xf>
    <xf numFmtId="0" fontId="6" fillId="0" borderId="29" xfId="0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26" borderId="30" xfId="0" applyFont="1" applyFill="1" applyBorder="1" applyAlignment="1">
      <alignment horizontal="left" vertical="center"/>
    </xf>
    <xf numFmtId="0" fontId="6" fillId="26" borderId="29" xfId="0" applyFont="1" applyFill="1" applyBorder="1" applyAlignment="1">
      <alignment horizontal="left" vertical="center"/>
    </xf>
    <xf numFmtId="0" fontId="6" fillId="26" borderId="16" xfId="0" applyFont="1" applyFill="1" applyBorder="1" applyAlignment="1">
      <alignment horizontal="left" vertical="center" wrapText="1"/>
    </xf>
    <xf numFmtId="0" fontId="6" fillId="26" borderId="17" xfId="0" applyFont="1" applyFill="1" applyBorder="1" applyAlignment="1">
      <alignment horizontal="left" vertical="center" wrapText="1"/>
    </xf>
    <xf numFmtId="0" fontId="6" fillId="26" borderId="32" xfId="0" applyFont="1" applyFill="1" applyBorder="1" applyAlignment="1">
      <alignment horizontal="left" vertical="center" wrapText="1"/>
    </xf>
    <xf numFmtId="0" fontId="6" fillId="26" borderId="28" xfId="0" applyFont="1" applyFill="1" applyBorder="1" applyAlignment="1">
      <alignment horizontal="left" vertical="center" wrapText="1"/>
    </xf>
    <xf numFmtId="0" fontId="6" fillId="26" borderId="31" xfId="0" applyFont="1" applyFill="1" applyBorder="1" applyAlignment="1">
      <alignment horizontal="center" vertical="center" wrapText="1"/>
    </xf>
    <xf numFmtId="0" fontId="6" fillId="29" borderId="3" xfId="0" applyFont="1" applyFill="1" applyBorder="1" applyAlignment="1">
      <alignment horizontal="left" vertical="center" wrapText="1"/>
    </xf>
    <xf numFmtId="0" fontId="6" fillId="29" borderId="15" xfId="0" applyFont="1" applyFill="1" applyBorder="1" applyAlignment="1">
      <alignment horizontal="left" vertical="center" wrapText="1"/>
    </xf>
    <xf numFmtId="0" fontId="6" fillId="29" borderId="29" xfId="0" applyFont="1" applyFill="1" applyBorder="1" applyAlignment="1">
      <alignment horizontal="left" vertical="center" wrapText="1"/>
    </xf>
    <xf numFmtId="0" fontId="6" fillId="29" borderId="33" xfId="0" applyFont="1" applyFill="1" applyBorder="1" applyAlignment="1">
      <alignment horizontal="left" vertical="center" wrapText="1"/>
    </xf>
    <xf numFmtId="0" fontId="6" fillId="29" borderId="0" xfId="0" applyFont="1" applyFill="1" applyBorder="1" applyAlignment="1">
      <alignment horizontal="left" vertical="center" wrapText="1"/>
    </xf>
    <xf numFmtId="0" fontId="42" fillId="26" borderId="0" xfId="0" applyFont="1" applyFill="1">
      <alignment vertical="center"/>
    </xf>
    <xf numFmtId="0" fontId="44" fillId="0" borderId="0" xfId="0" applyFont="1">
      <alignment vertical="center"/>
    </xf>
    <xf numFmtId="0" fontId="42" fillId="29" borderId="3" xfId="0" applyFont="1" applyFill="1" applyBorder="1" applyAlignment="1">
      <alignment horizontal="center" vertical="center" wrapText="1"/>
    </xf>
    <xf numFmtId="0" fontId="42" fillId="29" borderId="29" xfId="0" applyFont="1" applyFill="1" applyBorder="1" applyAlignment="1">
      <alignment horizontal="left" vertical="center" wrapText="1"/>
    </xf>
    <xf numFmtId="0" fontId="42" fillId="29" borderId="33" xfId="0" applyFont="1" applyFill="1" applyBorder="1" applyAlignment="1">
      <alignment horizontal="left" vertical="center" wrapText="1"/>
    </xf>
    <xf numFmtId="0" fontId="42" fillId="29" borderId="0" xfId="0" applyFont="1" applyFill="1" applyBorder="1" applyAlignment="1">
      <alignment vertical="center" wrapText="1"/>
    </xf>
    <xf numFmtId="0" fontId="42" fillId="29" borderId="3" xfId="0" applyFont="1" applyFill="1" applyBorder="1" applyAlignment="1">
      <alignment horizontal="left" vertical="center" wrapText="1"/>
    </xf>
    <xf numFmtId="0" fontId="42" fillId="29" borderId="15" xfId="0" applyFont="1" applyFill="1" applyBorder="1" applyAlignment="1">
      <alignment horizontal="left" vertical="center" wrapText="1"/>
    </xf>
    <xf numFmtId="0" fontId="42" fillId="29" borderId="0" xfId="0" applyFont="1" applyFill="1" applyBorder="1" applyAlignment="1">
      <alignment horizontal="left" vertical="center" wrapText="1"/>
    </xf>
    <xf numFmtId="0" fontId="42" fillId="29" borderId="28" xfId="0" applyFont="1" applyFill="1" applyBorder="1" applyAlignment="1">
      <alignment vertical="center" wrapText="1"/>
    </xf>
    <xf numFmtId="0" fontId="42" fillId="29" borderId="16" xfId="0" applyFont="1" applyFill="1" applyBorder="1" applyAlignment="1">
      <alignment horizontal="center" vertical="center" wrapText="1"/>
    </xf>
    <xf numFmtId="0" fontId="42" fillId="29" borderId="62" xfId="0" applyFont="1" applyFill="1" applyBorder="1" applyAlignment="1">
      <alignment horizontal="center" vertical="center" wrapText="1"/>
    </xf>
    <xf numFmtId="0" fontId="42" fillId="29" borderId="61" xfId="0" applyFont="1" applyFill="1" applyBorder="1" applyAlignment="1">
      <alignment horizontal="center" vertical="center" wrapText="1"/>
    </xf>
    <xf numFmtId="0" fontId="42" fillId="26" borderId="3" xfId="0" applyFont="1" applyFill="1" applyBorder="1" applyAlignment="1">
      <alignment horizontal="center" vertical="center" wrapText="1"/>
    </xf>
  </cellXfs>
  <cellStyles count="7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AeE­ [0]_±aA¸" xfId="19" xr:uid="{00000000-0005-0000-0000-000012000000}"/>
    <cellStyle name="AeE­_±aA¸" xfId="20" xr:uid="{00000000-0005-0000-0000-000013000000}"/>
    <cellStyle name="AÞ¸¶ [0]_±aA¸" xfId="21" xr:uid="{00000000-0005-0000-0000-000014000000}"/>
    <cellStyle name="AÞ¸¶_±aA¸" xfId="22" xr:uid="{00000000-0005-0000-0000-000015000000}"/>
    <cellStyle name="C￥AØ_¿u°￡¿a¾aº¸°i" xfId="23" xr:uid="{00000000-0005-0000-0000-000016000000}"/>
    <cellStyle name="category" xfId="24" xr:uid="{00000000-0005-0000-0000-000017000000}"/>
    <cellStyle name="Comma [0]_ SG&amp;A Bridge " xfId="25" xr:uid="{00000000-0005-0000-0000-000018000000}"/>
    <cellStyle name="comma zerodec" xfId="26" xr:uid="{00000000-0005-0000-0000-000019000000}"/>
    <cellStyle name="Comma_ SG&amp;A Bridge " xfId="27" xr:uid="{00000000-0005-0000-0000-00001A000000}"/>
    <cellStyle name="Currency [0]_ SG&amp;A Bridge " xfId="28" xr:uid="{00000000-0005-0000-0000-00001B000000}"/>
    <cellStyle name="Currency_ SG&amp;A Bridge " xfId="29" xr:uid="{00000000-0005-0000-0000-00001C000000}"/>
    <cellStyle name="Currency1" xfId="30" xr:uid="{00000000-0005-0000-0000-00001D000000}"/>
    <cellStyle name="Dollar (zero dec)" xfId="31" xr:uid="{00000000-0005-0000-0000-00001E000000}"/>
    <cellStyle name="Grey" xfId="32" xr:uid="{00000000-0005-0000-0000-00001F000000}"/>
    <cellStyle name="HEADER" xfId="33" xr:uid="{00000000-0005-0000-0000-000020000000}"/>
    <cellStyle name="Header1" xfId="34" xr:uid="{00000000-0005-0000-0000-000021000000}"/>
    <cellStyle name="Header2" xfId="35" xr:uid="{00000000-0005-0000-0000-000022000000}"/>
    <cellStyle name="Input [yellow]" xfId="36" xr:uid="{00000000-0005-0000-0000-000023000000}"/>
    <cellStyle name="Model" xfId="37" xr:uid="{00000000-0005-0000-0000-000024000000}"/>
    <cellStyle name="Normal - Style1" xfId="38" xr:uid="{00000000-0005-0000-0000-000025000000}"/>
    <cellStyle name="Normal_ SG&amp;A Bridge " xfId="39" xr:uid="{00000000-0005-0000-0000-000026000000}"/>
    <cellStyle name="Percent [2]" xfId="40" xr:uid="{00000000-0005-0000-0000-000027000000}"/>
    <cellStyle name="subhead" xfId="41" xr:uid="{00000000-0005-0000-0000-000028000000}"/>
    <cellStyle name="강조색1" xfId="42" builtinId="29" customBuiltin="1"/>
    <cellStyle name="강조색2" xfId="43" builtinId="33" customBuiltin="1"/>
    <cellStyle name="강조색3" xfId="44" builtinId="37" customBuiltin="1"/>
    <cellStyle name="강조색4" xfId="45" builtinId="41" customBuiltin="1"/>
    <cellStyle name="강조색5" xfId="46" builtinId="45" customBuiltin="1"/>
    <cellStyle name="강조색6" xfId="47" builtinId="49" customBuiltin="1"/>
    <cellStyle name="경고문" xfId="48" builtinId="11" customBuiltin="1"/>
    <cellStyle name="계산" xfId="49" builtinId="22" customBuiltin="1"/>
    <cellStyle name="나쁨" xfId="50" builtinId="27" customBuiltin="1"/>
    <cellStyle name="메모" xfId="51" builtinId="10" customBuiltin="1"/>
    <cellStyle name="보통" xfId="52" builtinId="28" customBuiltin="1"/>
    <cellStyle name="뷭?_BOOKSHIP" xfId="53" xr:uid="{00000000-0005-0000-0000-000035000000}"/>
    <cellStyle name="설명 텍스트" xfId="54" builtinId="53" customBuiltin="1"/>
    <cellStyle name="셀 확인" xfId="55" builtinId="23" customBuiltin="1"/>
    <cellStyle name="쉼표 [0]" xfId="56" builtinId="6"/>
    <cellStyle name="쉼표 [0] 10" xfId="57" xr:uid="{00000000-0005-0000-0000-000039000000}"/>
    <cellStyle name="연결된 셀" xfId="58" builtinId="24" customBuiltin="1"/>
    <cellStyle name="요약" xfId="59" builtinId="25" customBuiltin="1"/>
    <cellStyle name="입력" xfId="60" builtinId="20" customBuiltin="1"/>
    <cellStyle name="제목" xfId="61" builtinId="15" customBuiltin="1"/>
    <cellStyle name="제목 1" xfId="62" builtinId="16" customBuiltin="1"/>
    <cellStyle name="제목 2" xfId="63" builtinId="17" customBuiltin="1"/>
    <cellStyle name="제목 3" xfId="64" builtinId="18" customBuiltin="1"/>
    <cellStyle name="제목 4" xfId="65" builtinId="19" customBuiltin="1"/>
    <cellStyle name="좋음" xfId="66" builtinId="26" customBuiltin="1"/>
    <cellStyle name="출력" xfId="67" builtinId="21" customBuiltin="1"/>
    <cellStyle name="콤마 [0]_11월1주" xfId="68" xr:uid="{00000000-0005-0000-0000-000044000000}"/>
    <cellStyle name="콤마_1202" xfId="69" xr:uid="{00000000-0005-0000-0000-000045000000}"/>
    <cellStyle name="표준" xfId="0" builtinId="0"/>
    <cellStyle name="표준 10" xfId="70" xr:uid="{00000000-0005-0000-0000-000047000000}"/>
    <cellStyle name="표준 2" xfId="71" xr:uid="{00000000-0005-0000-0000-000048000000}"/>
    <cellStyle name="표준 2 2" xfId="72" xr:uid="{00000000-0005-0000-0000-000049000000}"/>
    <cellStyle name="표준 2 9" xfId="73" xr:uid="{00000000-0005-0000-0000-00004A000000}"/>
    <cellStyle name="표준 9" xfId="74" xr:uid="{00000000-0005-0000-0000-00004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3</xdr:row>
      <xdr:rowOff>0</xdr:rowOff>
    </xdr:from>
    <xdr:to>
      <xdr:col>7</xdr:col>
      <xdr:colOff>628650</xdr:colOff>
      <xdr:row>7</xdr:row>
      <xdr:rowOff>57150</xdr:rowOff>
    </xdr:to>
    <xdr:grpSp>
      <xdr:nvGrpSpPr>
        <xdr:cNvPr id="82572" name="그룹 1">
          <a:extLst>
            <a:ext uri="{FF2B5EF4-FFF2-40B4-BE49-F238E27FC236}">
              <a16:creationId xmlns:a16="http://schemas.microsoft.com/office/drawing/2014/main" id="{00000000-0008-0000-2700-00008C420100}"/>
            </a:ext>
          </a:extLst>
        </xdr:cNvPr>
        <xdr:cNvGrpSpPr>
          <a:grpSpLocks/>
        </xdr:cNvGrpSpPr>
      </xdr:nvGrpSpPr>
      <xdr:grpSpPr bwMode="auto">
        <a:xfrm>
          <a:off x="314325" y="739588"/>
          <a:ext cx="5827619" cy="908797"/>
          <a:chOff x="2422343" y="2351550"/>
          <a:chExt cx="3496656" cy="1126022"/>
        </a:xfrm>
      </xdr:grpSpPr>
      <xdr:grpSp>
        <xdr:nvGrpSpPr>
          <xdr:cNvPr id="82573" name="그룹 24">
            <a:extLst>
              <a:ext uri="{FF2B5EF4-FFF2-40B4-BE49-F238E27FC236}">
                <a16:creationId xmlns:a16="http://schemas.microsoft.com/office/drawing/2014/main" id="{00000000-0008-0000-2700-00008D420100}"/>
              </a:ext>
            </a:extLst>
          </xdr:cNvPr>
          <xdr:cNvGrpSpPr>
            <a:grpSpLocks/>
          </xdr:cNvGrpSpPr>
        </xdr:nvGrpSpPr>
        <xdr:grpSpPr bwMode="auto">
          <a:xfrm>
            <a:off x="2422343" y="2351547"/>
            <a:ext cx="3487101" cy="455992"/>
            <a:chOff x="2418521" y="2291978"/>
            <a:chExt cx="3480726" cy="445265"/>
          </a:xfrm>
        </xdr:grpSpPr>
        <xdr:grpSp>
          <xdr:nvGrpSpPr>
            <xdr:cNvPr id="82586" name="그룹 19">
              <a:extLst>
                <a:ext uri="{FF2B5EF4-FFF2-40B4-BE49-F238E27FC236}">
                  <a16:creationId xmlns:a16="http://schemas.microsoft.com/office/drawing/2014/main" id="{00000000-0008-0000-2700-00009A42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7130" y="2291978"/>
              <a:ext cx="3433046" cy="445265"/>
              <a:chOff x="2447209" y="2540468"/>
              <a:chExt cx="6251398" cy="1177157"/>
            </a:xfrm>
          </xdr:grpSpPr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00000000-0008-0000-2700-000015000000}"/>
                  </a:ext>
                </a:extLst>
              </xdr:cNvPr>
              <xdr:cNvSpPr txBox="1"/>
            </xdr:nvSpPr>
            <xdr:spPr>
              <a:xfrm>
                <a:off x="2448612" y="2540474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2" name="직선 연결선 3">
                <a:extLst>
                  <a:ext uri="{FF2B5EF4-FFF2-40B4-BE49-F238E27FC236}">
                    <a16:creationId xmlns:a16="http://schemas.microsoft.com/office/drawing/2014/main" id="{00000000-0008-0000-2700-000016000000}"/>
                  </a:ext>
                </a:extLst>
              </xdr:cNvPr>
              <xdr:cNvCxnSpPr>
                <a:stCxn id="21" idx="0"/>
                <a:endCxn id="21" idx="2"/>
              </xdr:cNvCxnSpPr>
            </xdr:nvCxnSpPr>
            <xdr:spPr>
              <a:xfrm rot="16200000" flipH="1">
                <a:off x="3423203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직선 연결선 22">
                <a:extLst>
                  <a:ext uri="{FF2B5EF4-FFF2-40B4-BE49-F238E27FC236}">
                    <a16:creationId xmlns:a16="http://schemas.microsoft.com/office/drawing/2014/main" id="{00000000-0008-0000-2700-000017000000}"/>
                  </a:ext>
                </a:extLst>
              </xdr:cNvPr>
              <xdr:cNvCxnSpPr>
                <a:stCxn id="21" idx="1"/>
                <a:endCxn id="21" idx="3"/>
              </xdr:cNvCxnSpPr>
            </xdr:nvCxnSpPr>
            <xdr:spPr>
              <a:xfrm rot="10800000" flipH="1">
                <a:off x="2448612" y="3128032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4" name="TextBox 15">
                <a:extLst>
                  <a:ext uri="{FF2B5EF4-FFF2-40B4-BE49-F238E27FC236}">
                    <a16:creationId xmlns:a16="http://schemas.microsoft.com/office/drawing/2014/main" id="{00000000-0008-0000-2700-000018000000}"/>
                  </a:ext>
                </a:extLst>
              </xdr:cNvPr>
              <xdr:cNvSpPr txBox="1"/>
            </xdr:nvSpPr>
            <xdr:spPr>
              <a:xfrm>
                <a:off x="5551509" y="2540474"/>
                <a:ext cx="3145695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5" name="직선 연결선 24">
                <a:extLst>
                  <a:ext uri="{FF2B5EF4-FFF2-40B4-BE49-F238E27FC236}">
                    <a16:creationId xmlns:a16="http://schemas.microsoft.com/office/drawing/2014/main" id="{00000000-0008-0000-2700-000019000000}"/>
                  </a:ext>
                </a:extLst>
              </xdr:cNvPr>
              <xdr:cNvCxnSpPr/>
            </xdr:nvCxnSpPr>
            <xdr:spPr>
              <a:xfrm rot="10800000" flipH="1">
                <a:off x="5551509" y="3128032"/>
                <a:ext cx="314569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직선 연결선 25">
                <a:extLst>
                  <a:ext uri="{FF2B5EF4-FFF2-40B4-BE49-F238E27FC236}">
                    <a16:creationId xmlns:a16="http://schemas.microsoft.com/office/drawing/2014/main" id="{00000000-0008-0000-2700-00001A000000}"/>
                  </a:ext>
                </a:extLst>
              </xdr:cNvPr>
              <xdr:cNvCxnSpPr/>
            </xdr:nvCxnSpPr>
            <xdr:spPr>
              <a:xfrm rot="16200000" flipH="1">
                <a:off x="6558198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2700-000011000000}"/>
                </a:ext>
              </a:extLst>
            </xdr:cNvPr>
            <xdr:cNvSpPr txBox="1"/>
          </xdr:nvSpPr>
          <xdr:spPr>
            <a:xfrm>
              <a:off x="2418521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금융기관명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2700-000012000000}"/>
                </a:ext>
              </a:extLst>
            </xdr:cNvPr>
            <xdr:cNvSpPr txBox="1"/>
          </xdr:nvSpPr>
          <xdr:spPr>
            <a:xfrm>
              <a:off x="3276397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점포 그룹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2700-000013000000}"/>
                </a:ext>
              </a:extLst>
            </xdr:cNvPr>
            <xdr:cNvSpPr txBox="1"/>
          </xdr:nvSpPr>
          <xdr:spPr>
            <a:xfrm>
              <a:off x="4146025" y="2291980"/>
              <a:ext cx="887256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기준월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2700-000014000000}"/>
                </a:ext>
              </a:extLst>
            </xdr:cNvPr>
            <xdr:cNvSpPr txBox="1"/>
          </xdr:nvSpPr>
          <xdr:spPr>
            <a:xfrm>
              <a:off x="4986274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보고주기</a:t>
              </a:r>
            </a:p>
          </xdr:txBody>
        </xdr:sp>
      </xdr:grpSp>
      <xdr:grpSp>
        <xdr:nvGrpSpPr>
          <xdr:cNvPr id="82574" name="그룹 25">
            <a:extLst>
              <a:ext uri="{FF2B5EF4-FFF2-40B4-BE49-F238E27FC236}">
                <a16:creationId xmlns:a16="http://schemas.microsoft.com/office/drawing/2014/main" id="{00000000-0008-0000-2700-00008E420100}"/>
              </a:ext>
            </a:extLst>
          </xdr:cNvPr>
          <xdr:cNvGrpSpPr>
            <a:grpSpLocks/>
          </xdr:cNvGrpSpPr>
        </xdr:nvGrpSpPr>
        <xdr:grpSpPr bwMode="auto">
          <a:xfrm>
            <a:off x="2431896" y="3021576"/>
            <a:ext cx="3487101" cy="455992"/>
            <a:chOff x="2416490" y="2296277"/>
            <a:chExt cx="3480726" cy="445265"/>
          </a:xfrm>
        </xdr:grpSpPr>
        <xdr:grpSp>
          <xdr:nvGrpSpPr>
            <xdr:cNvPr id="82575" name="그룹 19">
              <a:extLst>
                <a:ext uri="{FF2B5EF4-FFF2-40B4-BE49-F238E27FC236}">
                  <a16:creationId xmlns:a16="http://schemas.microsoft.com/office/drawing/2014/main" id="{00000000-0008-0000-2700-00008F42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5099" y="2296277"/>
              <a:ext cx="3423510" cy="445265"/>
              <a:chOff x="2443510" y="2551833"/>
              <a:chExt cx="6234033" cy="1177157"/>
            </a:xfrm>
          </xdr:grpSpPr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2700-00000A000000}"/>
                  </a:ext>
                </a:extLst>
              </xdr:cNvPr>
              <xdr:cNvSpPr txBox="1"/>
            </xdr:nvSpPr>
            <xdr:spPr>
              <a:xfrm>
                <a:off x="2502447" y="2553888"/>
                <a:ext cx="3070797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1" name="직선 연결선 10">
                <a:extLst>
                  <a:ext uri="{FF2B5EF4-FFF2-40B4-BE49-F238E27FC236}">
                    <a16:creationId xmlns:a16="http://schemas.microsoft.com/office/drawing/2014/main" id="{00000000-0008-0000-2700-00000B000000}"/>
                  </a:ext>
                </a:extLst>
              </xdr:cNvPr>
              <xdr:cNvCxnSpPr>
                <a:stCxn id="10" idx="0"/>
                <a:endCxn id="10" idx="2"/>
              </xdr:cNvCxnSpPr>
            </xdr:nvCxnSpPr>
            <xdr:spPr>
              <a:xfrm rot="16200000" flipH="1">
                <a:off x="3423540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직선 연결선 11">
                <a:extLst>
                  <a:ext uri="{FF2B5EF4-FFF2-40B4-BE49-F238E27FC236}">
                    <a16:creationId xmlns:a16="http://schemas.microsoft.com/office/drawing/2014/main" id="{00000000-0008-0000-2700-00000C000000}"/>
                  </a:ext>
                </a:extLst>
              </xdr:cNvPr>
              <xdr:cNvCxnSpPr>
                <a:stCxn id="10" idx="1"/>
                <a:endCxn id="10" idx="3"/>
              </xdr:cNvCxnSpPr>
            </xdr:nvCxnSpPr>
            <xdr:spPr>
              <a:xfrm rot="10800000" flipH="1">
                <a:off x="2502447" y="3141446"/>
                <a:ext cx="3070797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0000000-0008-0000-2700-00000D000000}"/>
                  </a:ext>
                </a:extLst>
              </xdr:cNvPr>
              <xdr:cNvSpPr txBox="1"/>
            </xdr:nvSpPr>
            <xdr:spPr>
              <a:xfrm>
                <a:off x="5551845" y="2553888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4" name="직선 연결선 13">
                <a:extLst>
                  <a:ext uri="{FF2B5EF4-FFF2-40B4-BE49-F238E27FC236}">
                    <a16:creationId xmlns:a16="http://schemas.microsoft.com/office/drawing/2014/main" id="{00000000-0008-0000-2700-00000E000000}"/>
                  </a:ext>
                </a:extLst>
              </xdr:cNvPr>
              <xdr:cNvCxnSpPr/>
            </xdr:nvCxnSpPr>
            <xdr:spPr>
              <a:xfrm rot="10800000" flipH="1">
                <a:off x="5551845" y="3141446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연결선 14">
                <a:extLst>
                  <a:ext uri="{FF2B5EF4-FFF2-40B4-BE49-F238E27FC236}">
                    <a16:creationId xmlns:a16="http://schemas.microsoft.com/office/drawing/2014/main" id="{00000000-0008-0000-2700-00000F000000}"/>
                  </a:ext>
                </a:extLst>
              </xdr:cNvPr>
              <xdr:cNvCxnSpPr/>
            </xdr:nvCxnSpPr>
            <xdr:spPr>
              <a:xfrm rot="16200000" flipH="1">
                <a:off x="6537135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2700-000006000000}"/>
                </a:ext>
              </a:extLst>
            </xdr:cNvPr>
            <xdr:cNvSpPr txBox="1"/>
          </xdr:nvSpPr>
          <xdr:spPr>
            <a:xfrm>
              <a:off x="2418706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소 속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2700-000007000000}"/>
                </a:ext>
              </a:extLst>
            </xdr:cNvPr>
            <xdr:cNvSpPr txBox="1"/>
          </xdr:nvSpPr>
          <xdr:spPr>
            <a:xfrm>
              <a:off x="3282459" y="2297054"/>
              <a:ext cx="899007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직 위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2700-000008000000}"/>
                </a:ext>
              </a:extLst>
            </xdr:cNvPr>
            <xdr:cNvSpPr txBox="1"/>
          </xdr:nvSpPr>
          <xdr:spPr>
            <a:xfrm>
              <a:off x="4146211" y="2297054"/>
              <a:ext cx="893131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성 명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2700-000009000000}"/>
                </a:ext>
              </a:extLst>
            </xdr:cNvPr>
            <xdr:cNvSpPr txBox="1"/>
          </xdr:nvSpPr>
          <xdr:spPr>
            <a:xfrm>
              <a:off x="4986459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전화번호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3</xdr:row>
      <xdr:rowOff>0</xdr:rowOff>
    </xdr:from>
    <xdr:to>
      <xdr:col>7</xdr:col>
      <xdr:colOff>628650</xdr:colOff>
      <xdr:row>7</xdr:row>
      <xdr:rowOff>57150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9DD5DB8-F404-4F2C-92C5-5552902EBF00}"/>
            </a:ext>
          </a:extLst>
        </xdr:cNvPr>
        <xdr:cNvGrpSpPr>
          <a:grpSpLocks/>
        </xdr:cNvGrpSpPr>
      </xdr:nvGrpSpPr>
      <xdr:grpSpPr bwMode="auto">
        <a:xfrm>
          <a:off x="314325" y="749300"/>
          <a:ext cx="5851525" cy="920750"/>
          <a:chOff x="2422343" y="2351550"/>
          <a:chExt cx="3496656" cy="1126022"/>
        </a:xfrm>
      </xdr:grpSpPr>
      <xdr:grpSp>
        <xdr:nvGrpSpPr>
          <xdr:cNvPr id="3" name="그룹 24">
            <a:extLst>
              <a:ext uri="{FF2B5EF4-FFF2-40B4-BE49-F238E27FC236}">
                <a16:creationId xmlns:a16="http://schemas.microsoft.com/office/drawing/2014/main" id="{79C707FB-1513-4269-8FB7-EA43E9678148}"/>
              </a:ext>
            </a:extLst>
          </xdr:cNvPr>
          <xdr:cNvGrpSpPr>
            <a:grpSpLocks/>
          </xdr:cNvGrpSpPr>
        </xdr:nvGrpSpPr>
        <xdr:grpSpPr bwMode="auto">
          <a:xfrm>
            <a:off x="2422343" y="2351547"/>
            <a:ext cx="3487101" cy="455992"/>
            <a:chOff x="2418521" y="2291978"/>
            <a:chExt cx="3480726" cy="445265"/>
          </a:xfrm>
        </xdr:grpSpPr>
        <xdr:grpSp>
          <xdr:nvGrpSpPr>
            <xdr:cNvPr id="16" name="그룹 19">
              <a:extLst>
                <a:ext uri="{FF2B5EF4-FFF2-40B4-BE49-F238E27FC236}">
                  <a16:creationId xmlns:a16="http://schemas.microsoft.com/office/drawing/2014/main" id="{2CB3B4C8-1EFB-4FFF-A57B-C23F0FB6A40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7130" y="2291978"/>
              <a:ext cx="3433046" cy="445265"/>
              <a:chOff x="2447209" y="2540468"/>
              <a:chExt cx="6251398" cy="1177157"/>
            </a:xfrm>
          </xdr:grpSpPr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182D892A-ECBE-4D60-AE02-10FC745DC7D6}"/>
                  </a:ext>
                </a:extLst>
              </xdr:cNvPr>
              <xdr:cNvSpPr txBox="1"/>
            </xdr:nvSpPr>
            <xdr:spPr>
              <a:xfrm>
                <a:off x="2448612" y="2540474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2" name="직선 연결선 3">
                <a:extLst>
                  <a:ext uri="{FF2B5EF4-FFF2-40B4-BE49-F238E27FC236}">
                    <a16:creationId xmlns:a16="http://schemas.microsoft.com/office/drawing/2014/main" id="{94FE418E-3A12-4DE5-A3BB-9B3D3D93FCA4}"/>
                  </a:ext>
                </a:extLst>
              </xdr:cNvPr>
              <xdr:cNvCxnSpPr>
                <a:stCxn id="21" idx="0"/>
                <a:endCxn id="21" idx="2"/>
              </xdr:cNvCxnSpPr>
            </xdr:nvCxnSpPr>
            <xdr:spPr>
              <a:xfrm rot="16200000" flipH="1">
                <a:off x="3423203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직선 연결선 22">
                <a:extLst>
                  <a:ext uri="{FF2B5EF4-FFF2-40B4-BE49-F238E27FC236}">
                    <a16:creationId xmlns:a16="http://schemas.microsoft.com/office/drawing/2014/main" id="{B6FA3BAE-BD92-4CB1-9553-64480ABF1CB8}"/>
                  </a:ext>
                </a:extLst>
              </xdr:cNvPr>
              <xdr:cNvCxnSpPr>
                <a:stCxn id="21" idx="1"/>
                <a:endCxn id="21" idx="3"/>
              </xdr:cNvCxnSpPr>
            </xdr:nvCxnSpPr>
            <xdr:spPr>
              <a:xfrm rot="10800000" flipH="1">
                <a:off x="2448612" y="3128032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4" name="TextBox 15">
                <a:extLst>
                  <a:ext uri="{FF2B5EF4-FFF2-40B4-BE49-F238E27FC236}">
                    <a16:creationId xmlns:a16="http://schemas.microsoft.com/office/drawing/2014/main" id="{FD7A3C08-ACE3-41AB-98ED-2CE5351EAD96}"/>
                  </a:ext>
                </a:extLst>
              </xdr:cNvPr>
              <xdr:cNvSpPr txBox="1"/>
            </xdr:nvSpPr>
            <xdr:spPr>
              <a:xfrm>
                <a:off x="5551509" y="2540474"/>
                <a:ext cx="3145695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5" name="직선 연결선 24">
                <a:extLst>
                  <a:ext uri="{FF2B5EF4-FFF2-40B4-BE49-F238E27FC236}">
                    <a16:creationId xmlns:a16="http://schemas.microsoft.com/office/drawing/2014/main" id="{972CD92F-170B-4762-AC98-F3B54DE0DB29}"/>
                  </a:ext>
                </a:extLst>
              </xdr:cNvPr>
              <xdr:cNvCxnSpPr/>
            </xdr:nvCxnSpPr>
            <xdr:spPr>
              <a:xfrm rot="10800000" flipH="1">
                <a:off x="5551509" y="3128032"/>
                <a:ext cx="314569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직선 연결선 25">
                <a:extLst>
                  <a:ext uri="{FF2B5EF4-FFF2-40B4-BE49-F238E27FC236}">
                    <a16:creationId xmlns:a16="http://schemas.microsoft.com/office/drawing/2014/main" id="{E4E94BB3-BD13-430E-9BE5-705504640723}"/>
                  </a:ext>
                </a:extLst>
              </xdr:cNvPr>
              <xdr:cNvCxnSpPr/>
            </xdr:nvCxnSpPr>
            <xdr:spPr>
              <a:xfrm rot="16200000" flipH="1">
                <a:off x="6558198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9D21BB4-0A4D-46D6-9294-1FA0AA8BB9CE}"/>
                </a:ext>
              </a:extLst>
            </xdr:cNvPr>
            <xdr:cNvSpPr txBox="1"/>
          </xdr:nvSpPr>
          <xdr:spPr>
            <a:xfrm>
              <a:off x="2418521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금융기관명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541AB2D-DEF6-4EE9-A040-82B76953A0F1}"/>
                </a:ext>
              </a:extLst>
            </xdr:cNvPr>
            <xdr:cNvSpPr txBox="1"/>
          </xdr:nvSpPr>
          <xdr:spPr>
            <a:xfrm>
              <a:off x="3276397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점포 그룹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05B38FC-5557-4960-9CC2-DB7224E61351}"/>
                </a:ext>
              </a:extLst>
            </xdr:cNvPr>
            <xdr:cNvSpPr txBox="1"/>
          </xdr:nvSpPr>
          <xdr:spPr>
            <a:xfrm>
              <a:off x="4146025" y="2291980"/>
              <a:ext cx="887256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기준월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D4746-2804-4F14-A37F-C19CF0C89F07}"/>
                </a:ext>
              </a:extLst>
            </xdr:cNvPr>
            <xdr:cNvSpPr txBox="1"/>
          </xdr:nvSpPr>
          <xdr:spPr>
            <a:xfrm>
              <a:off x="4986274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보고주기</a:t>
              </a:r>
            </a:p>
          </xdr:txBody>
        </xdr:sp>
      </xdr:grpSp>
      <xdr:grpSp>
        <xdr:nvGrpSpPr>
          <xdr:cNvPr id="4" name="그룹 25">
            <a:extLst>
              <a:ext uri="{FF2B5EF4-FFF2-40B4-BE49-F238E27FC236}">
                <a16:creationId xmlns:a16="http://schemas.microsoft.com/office/drawing/2014/main" id="{347346B9-C868-4CD3-88E9-DF661066A2BE}"/>
              </a:ext>
            </a:extLst>
          </xdr:cNvPr>
          <xdr:cNvGrpSpPr>
            <a:grpSpLocks/>
          </xdr:cNvGrpSpPr>
        </xdr:nvGrpSpPr>
        <xdr:grpSpPr bwMode="auto">
          <a:xfrm>
            <a:off x="2431896" y="3021576"/>
            <a:ext cx="3487101" cy="455992"/>
            <a:chOff x="2416490" y="2296277"/>
            <a:chExt cx="3480726" cy="445265"/>
          </a:xfrm>
        </xdr:grpSpPr>
        <xdr:grpSp>
          <xdr:nvGrpSpPr>
            <xdr:cNvPr id="5" name="그룹 19">
              <a:extLst>
                <a:ext uri="{FF2B5EF4-FFF2-40B4-BE49-F238E27FC236}">
                  <a16:creationId xmlns:a16="http://schemas.microsoft.com/office/drawing/2014/main" id="{5437FF48-DE55-4AE5-9F91-227340EFE97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5099" y="2296277"/>
              <a:ext cx="3423510" cy="445265"/>
              <a:chOff x="2443510" y="2551833"/>
              <a:chExt cx="6234033" cy="1177157"/>
            </a:xfrm>
          </xdr:grpSpPr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472604F0-091C-4FE6-8255-078EDE2649D7}"/>
                  </a:ext>
                </a:extLst>
              </xdr:cNvPr>
              <xdr:cNvSpPr txBox="1"/>
            </xdr:nvSpPr>
            <xdr:spPr>
              <a:xfrm>
                <a:off x="2502447" y="2553888"/>
                <a:ext cx="3070797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1" name="직선 연결선 10">
                <a:extLst>
                  <a:ext uri="{FF2B5EF4-FFF2-40B4-BE49-F238E27FC236}">
                    <a16:creationId xmlns:a16="http://schemas.microsoft.com/office/drawing/2014/main" id="{56B84831-08B4-4867-AB62-C2F5E985A967}"/>
                  </a:ext>
                </a:extLst>
              </xdr:cNvPr>
              <xdr:cNvCxnSpPr>
                <a:stCxn id="10" idx="0"/>
                <a:endCxn id="10" idx="2"/>
              </xdr:cNvCxnSpPr>
            </xdr:nvCxnSpPr>
            <xdr:spPr>
              <a:xfrm rot="16200000" flipH="1">
                <a:off x="3423540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직선 연결선 11">
                <a:extLst>
                  <a:ext uri="{FF2B5EF4-FFF2-40B4-BE49-F238E27FC236}">
                    <a16:creationId xmlns:a16="http://schemas.microsoft.com/office/drawing/2014/main" id="{2CE49097-16FE-466F-BBE2-925B39B53FF3}"/>
                  </a:ext>
                </a:extLst>
              </xdr:cNvPr>
              <xdr:cNvCxnSpPr>
                <a:stCxn id="10" idx="1"/>
                <a:endCxn id="10" idx="3"/>
              </xdr:cNvCxnSpPr>
            </xdr:nvCxnSpPr>
            <xdr:spPr>
              <a:xfrm rot="10800000" flipH="1">
                <a:off x="2502447" y="3141446"/>
                <a:ext cx="3070797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817F8D83-8128-4EBD-93BB-1B49C2F5048C}"/>
                  </a:ext>
                </a:extLst>
              </xdr:cNvPr>
              <xdr:cNvSpPr txBox="1"/>
            </xdr:nvSpPr>
            <xdr:spPr>
              <a:xfrm>
                <a:off x="5551845" y="2553888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4" name="직선 연결선 13">
                <a:extLst>
                  <a:ext uri="{FF2B5EF4-FFF2-40B4-BE49-F238E27FC236}">
                    <a16:creationId xmlns:a16="http://schemas.microsoft.com/office/drawing/2014/main" id="{8116B46F-C2CC-4A24-B9A3-00AE183EFEB7}"/>
                  </a:ext>
                </a:extLst>
              </xdr:cNvPr>
              <xdr:cNvCxnSpPr/>
            </xdr:nvCxnSpPr>
            <xdr:spPr>
              <a:xfrm rot="10800000" flipH="1">
                <a:off x="5551845" y="3141446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연결선 14">
                <a:extLst>
                  <a:ext uri="{FF2B5EF4-FFF2-40B4-BE49-F238E27FC236}">
                    <a16:creationId xmlns:a16="http://schemas.microsoft.com/office/drawing/2014/main" id="{736BD60A-7191-4149-B594-3234DECA1976}"/>
                  </a:ext>
                </a:extLst>
              </xdr:cNvPr>
              <xdr:cNvCxnSpPr/>
            </xdr:nvCxnSpPr>
            <xdr:spPr>
              <a:xfrm rot="16200000" flipH="1">
                <a:off x="6537135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18B29ED-4109-4799-A12A-588D7EB309A0}"/>
                </a:ext>
              </a:extLst>
            </xdr:cNvPr>
            <xdr:cNvSpPr txBox="1"/>
          </xdr:nvSpPr>
          <xdr:spPr>
            <a:xfrm>
              <a:off x="2418706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소 속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5734C94-7C43-455D-BAE9-6959578C5C6A}"/>
                </a:ext>
              </a:extLst>
            </xdr:cNvPr>
            <xdr:cNvSpPr txBox="1"/>
          </xdr:nvSpPr>
          <xdr:spPr>
            <a:xfrm>
              <a:off x="3282459" y="2297054"/>
              <a:ext cx="899007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직 위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38599B-47CC-446A-92C0-E2389B069BA2}"/>
                </a:ext>
              </a:extLst>
            </xdr:cNvPr>
            <xdr:cNvSpPr txBox="1"/>
          </xdr:nvSpPr>
          <xdr:spPr>
            <a:xfrm>
              <a:off x="4146211" y="2297054"/>
              <a:ext cx="893131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성 명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ECEAF6A-1156-49D7-8229-EEF0BA0430B3}"/>
                </a:ext>
              </a:extLst>
            </xdr:cNvPr>
            <xdr:cNvSpPr txBox="1"/>
          </xdr:nvSpPr>
          <xdr:spPr>
            <a:xfrm>
              <a:off x="4986459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전화번호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109"/>
  <sheetViews>
    <sheetView tabSelected="1" zoomScale="85" zoomScaleNormal="85" workbookViewId="0">
      <selection activeCell="J8" sqref="J8"/>
    </sheetView>
  </sheetViews>
  <sheetFormatPr defaultColWidth="9" defaultRowHeight="16.5"/>
  <cols>
    <col min="1" max="1" width="12" style="12" customWidth="1"/>
    <col min="2" max="2" width="7.25" style="12" customWidth="1"/>
    <col min="3" max="3" width="10.25" style="12" customWidth="1"/>
    <col min="4" max="4" width="7.25" style="12" customWidth="1"/>
    <col min="5" max="5" width="5" style="12" customWidth="1"/>
    <col min="6" max="7" width="15.25" style="12" customWidth="1"/>
    <col min="8" max="9" width="11.5" style="12" customWidth="1"/>
    <col min="10" max="10" width="9" style="12"/>
    <col min="11" max="11" width="14.625" style="12" customWidth="1"/>
    <col min="12" max="12" width="12.75" style="12" customWidth="1"/>
    <col min="13" max="13" width="9" style="12"/>
    <col min="14" max="15" width="12.875" style="12" customWidth="1"/>
    <col min="16" max="16" width="9" style="12"/>
    <col min="17" max="17" width="12.25" style="12" customWidth="1"/>
    <col min="18" max="18" width="23.25" style="12" customWidth="1"/>
    <col min="19" max="16384" width="9" style="12"/>
  </cols>
  <sheetData>
    <row r="1" spans="1:18" s="1" customFormat="1">
      <c r="A1" s="2"/>
      <c r="B1" s="2"/>
      <c r="C1" s="2"/>
      <c r="D1" s="2"/>
      <c r="E1" s="2"/>
      <c r="F1" s="2"/>
      <c r="G1" s="2"/>
      <c r="H1" s="2"/>
      <c r="I1" s="2"/>
    </row>
    <row r="2" spans="1:18" s="1" customFormat="1" ht="24.75" customHeight="1">
      <c r="A2" s="3" t="s">
        <v>19</v>
      </c>
      <c r="B2" s="3"/>
      <c r="C2" s="4"/>
      <c r="D2" s="4"/>
      <c r="E2" s="4"/>
      <c r="F2" s="5"/>
      <c r="G2" s="5"/>
      <c r="H2" s="2"/>
      <c r="I2" s="2"/>
    </row>
    <row r="3" spans="1:18" s="1" customFormat="1">
      <c r="A3" s="2"/>
      <c r="B3" s="2"/>
      <c r="C3" s="2"/>
      <c r="D3" s="2"/>
      <c r="E3" s="2"/>
      <c r="F3" s="2"/>
      <c r="G3" s="2"/>
      <c r="H3" s="2"/>
      <c r="I3" s="2"/>
    </row>
    <row r="4" spans="1:18" s="1" customFormat="1">
      <c r="A4" s="6"/>
      <c r="B4" s="6"/>
      <c r="C4" s="7"/>
      <c r="D4" s="7"/>
      <c r="E4" s="7"/>
      <c r="F4" s="2"/>
      <c r="G4" s="2"/>
      <c r="H4" s="2"/>
      <c r="I4" s="2"/>
    </row>
    <row r="5" spans="1:18" s="1" customFormat="1">
      <c r="A5" s="6"/>
      <c r="B5" s="6"/>
      <c r="C5" s="2"/>
      <c r="D5" s="2"/>
      <c r="E5" s="2"/>
      <c r="F5" s="2"/>
      <c r="G5" s="2"/>
    </row>
    <row r="6" spans="1:18" s="1" customFormat="1">
      <c r="A6" s="6"/>
      <c r="B6" s="6"/>
      <c r="C6" s="2"/>
      <c r="D6" s="2"/>
      <c r="E6" s="2"/>
      <c r="F6" s="2"/>
      <c r="G6" s="2"/>
    </row>
    <row r="7" spans="1:18" s="1" customFormat="1">
      <c r="A7" s="6"/>
      <c r="B7" s="6"/>
      <c r="C7" s="7"/>
      <c r="D7" s="7"/>
      <c r="E7" s="7"/>
      <c r="F7" s="2"/>
      <c r="G7" s="2"/>
    </row>
    <row r="8" spans="1:18" s="1" customFormat="1">
      <c r="A8" s="6"/>
      <c r="B8" s="6"/>
      <c r="C8" s="2"/>
      <c r="D8" s="2"/>
      <c r="E8" s="2"/>
      <c r="F8" s="2"/>
      <c r="G8" s="2"/>
    </row>
    <row r="9" spans="1:18" s="1" customFormat="1" ht="17.25" thickBot="1">
      <c r="R9" s="8" t="s">
        <v>4</v>
      </c>
    </row>
    <row r="10" spans="1:18" s="1" customFormat="1" ht="17.45" customHeight="1">
      <c r="A10" s="95" t="s">
        <v>46</v>
      </c>
      <c r="B10" s="96"/>
      <c r="C10" s="96"/>
      <c r="D10" s="96"/>
      <c r="E10" s="96"/>
      <c r="F10" s="97"/>
      <c r="G10" s="113" t="s">
        <v>83</v>
      </c>
      <c r="H10" s="114"/>
      <c r="I10" s="115"/>
      <c r="J10" s="113" t="s">
        <v>47</v>
      </c>
      <c r="K10" s="114"/>
      <c r="L10" s="115"/>
      <c r="M10" s="113" t="s">
        <v>82</v>
      </c>
      <c r="N10" s="114"/>
      <c r="O10" s="115"/>
      <c r="P10" s="113" t="s">
        <v>84</v>
      </c>
      <c r="Q10" s="114"/>
      <c r="R10" s="115"/>
    </row>
    <row r="11" spans="1:18" s="1" customFormat="1" ht="21.75" customHeight="1">
      <c r="A11" s="98"/>
      <c r="B11" s="99"/>
      <c r="C11" s="99"/>
      <c r="D11" s="99"/>
      <c r="E11" s="99"/>
      <c r="F11" s="100"/>
      <c r="G11" s="50" t="s">
        <v>20</v>
      </c>
      <c r="H11" s="51" t="s">
        <v>5</v>
      </c>
      <c r="I11" s="52" t="s">
        <v>6</v>
      </c>
      <c r="J11" s="50" t="s">
        <v>20</v>
      </c>
      <c r="K11" s="51" t="s">
        <v>5</v>
      </c>
      <c r="L11" s="52" t="s">
        <v>6</v>
      </c>
      <c r="M11" s="50" t="s">
        <v>20</v>
      </c>
      <c r="N11" s="51" t="s">
        <v>5</v>
      </c>
      <c r="O11" s="52" t="s">
        <v>6</v>
      </c>
      <c r="P11" s="50" t="s">
        <v>20</v>
      </c>
      <c r="Q11" s="51" t="s">
        <v>5</v>
      </c>
      <c r="R11" s="52" t="s">
        <v>6</v>
      </c>
    </row>
    <row r="12" spans="1:18" s="1" customFormat="1" ht="21.75" customHeight="1">
      <c r="A12" s="110" t="s">
        <v>7</v>
      </c>
      <c r="B12" s="111" t="s">
        <v>1</v>
      </c>
      <c r="C12" s="117" t="s">
        <v>3</v>
      </c>
      <c r="D12" s="93" t="s">
        <v>8</v>
      </c>
      <c r="E12" s="94"/>
      <c r="F12" s="94"/>
      <c r="G12" s="16">
        <f>G13+G14</f>
        <v>0</v>
      </c>
      <c r="H12" s="17">
        <f>H13+H14</f>
        <v>0</v>
      </c>
      <c r="I12" s="18">
        <f t="shared" ref="I12" si="0">I13+I14</f>
        <v>0</v>
      </c>
      <c r="J12" s="19"/>
      <c r="K12" s="20"/>
      <c r="L12" s="21"/>
      <c r="M12" s="19"/>
      <c r="N12" s="20"/>
      <c r="O12" s="21"/>
      <c r="P12" s="19"/>
      <c r="Q12" s="20"/>
      <c r="R12" s="21"/>
    </row>
    <row r="13" spans="1:18" s="1" customFormat="1" ht="21.75" customHeight="1">
      <c r="A13" s="110"/>
      <c r="B13" s="111"/>
      <c r="C13" s="110"/>
      <c r="D13" s="118"/>
      <c r="E13" s="120" t="s">
        <v>48</v>
      </c>
      <c r="F13" s="121"/>
      <c r="G13" s="19"/>
      <c r="H13" s="20"/>
      <c r="I13" s="21"/>
      <c r="J13" s="22"/>
      <c r="K13" s="23"/>
      <c r="L13" s="24"/>
      <c r="M13" s="22"/>
      <c r="N13" s="23"/>
      <c r="O13" s="24"/>
      <c r="P13" s="22"/>
      <c r="Q13" s="23"/>
      <c r="R13" s="24"/>
    </row>
    <row r="14" spans="1:18" s="1" customFormat="1" ht="21.75" customHeight="1">
      <c r="A14" s="110"/>
      <c r="B14" s="111"/>
      <c r="C14" s="110"/>
      <c r="D14" s="119"/>
      <c r="E14" s="120" t="s">
        <v>49</v>
      </c>
      <c r="F14" s="121"/>
      <c r="G14" s="19"/>
      <c r="H14" s="20"/>
      <c r="I14" s="21"/>
      <c r="J14" s="22"/>
      <c r="K14" s="23"/>
      <c r="L14" s="24"/>
      <c r="M14" s="22"/>
      <c r="N14" s="23"/>
      <c r="O14" s="24"/>
      <c r="P14" s="22"/>
      <c r="Q14" s="23"/>
      <c r="R14" s="24"/>
    </row>
    <row r="15" spans="1:18" s="1" customFormat="1" ht="21.75" customHeight="1">
      <c r="A15" s="110"/>
      <c r="B15" s="116"/>
      <c r="C15" s="110"/>
      <c r="D15" s="122" t="s">
        <v>9</v>
      </c>
      <c r="E15" s="123"/>
      <c r="F15" s="123"/>
      <c r="G15" s="16">
        <f>G16+G17</f>
        <v>0</v>
      </c>
      <c r="H15" s="17">
        <f t="shared" ref="H15:I15" si="1">H16+H17</f>
        <v>0</v>
      </c>
      <c r="I15" s="18">
        <f t="shared" si="1"/>
        <v>0</v>
      </c>
      <c r="J15" s="19"/>
      <c r="K15" s="20"/>
      <c r="L15" s="21"/>
      <c r="M15" s="19"/>
      <c r="N15" s="20"/>
      <c r="O15" s="21"/>
      <c r="P15" s="19"/>
      <c r="Q15" s="20"/>
      <c r="R15" s="21"/>
    </row>
    <row r="16" spans="1:18" s="1" customFormat="1" ht="21.75" customHeight="1">
      <c r="A16" s="110"/>
      <c r="B16" s="116"/>
      <c r="C16" s="110"/>
      <c r="D16" s="118"/>
      <c r="E16" s="120" t="s">
        <v>48</v>
      </c>
      <c r="F16" s="121"/>
      <c r="G16" s="19"/>
      <c r="H16" s="20"/>
      <c r="I16" s="21"/>
      <c r="J16" s="22"/>
      <c r="K16" s="23"/>
      <c r="L16" s="24"/>
      <c r="M16" s="22"/>
      <c r="N16" s="23"/>
      <c r="O16" s="24"/>
      <c r="P16" s="22"/>
      <c r="Q16" s="23"/>
      <c r="R16" s="24"/>
    </row>
    <row r="17" spans="1:18" s="1" customFormat="1" ht="21.75" customHeight="1">
      <c r="A17" s="110"/>
      <c r="B17" s="116"/>
      <c r="C17" s="111"/>
      <c r="D17" s="119"/>
      <c r="E17" s="120" t="s">
        <v>49</v>
      </c>
      <c r="F17" s="121"/>
      <c r="G17" s="19"/>
      <c r="H17" s="20"/>
      <c r="I17" s="21"/>
      <c r="J17" s="22"/>
      <c r="K17" s="23"/>
      <c r="L17" s="24"/>
      <c r="M17" s="22"/>
      <c r="N17" s="23"/>
      <c r="O17" s="24"/>
      <c r="P17" s="22"/>
      <c r="Q17" s="23"/>
      <c r="R17" s="24"/>
    </row>
    <row r="18" spans="1:18" s="1" customFormat="1" ht="21.75" customHeight="1">
      <c r="A18" s="110"/>
      <c r="B18" s="116"/>
      <c r="C18" s="109" t="s">
        <v>10</v>
      </c>
      <c r="D18" s="103" t="s">
        <v>11</v>
      </c>
      <c r="E18" s="104"/>
      <c r="F18" s="104"/>
      <c r="G18" s="19"/>
      <c r="H18" s="20"/>
      <c r="I18" s="21"/>
      <c r="J18" s="19"/>
      <c r="K18" s="20"/>
      <c r="L18" s="21"/>
      <c r="M18" s="19"/>
      <c r="N18" s="20"/>
      <c r="O18" s="21"/>
      <c r="P18" s="19"/>
      <c r="Q18" s="20"/>
      <c r="R18" s="21"/>
    </row>
    <row r="19" spans="1:18" s="1" customFormat="1" ht="21.75" customHeight="1">
      <c r="A19" s="110"/>
      <c r="B19" s="116"/>
      <c r="C19" s="111" t="s">
        <v>10</v>
      </c>
      <c r="D19" s="103" t="s">
        <v>12</v>
      </c>
      <c r="E19" s="104"/>
      <c r="F19" s="104"/>
      <c r="G19" s="19"/>
      <c r="H19" s="20"/>
      <c r="I19" s="21"/>
      <c r="J19" s="19"/>
      <c r="K19" s="20"/>
      <c r="L19" s="21"/>
      <c r="M19" s="19"/>
      <c r="N19" s="20"/>
      <c r="O19" s="21"/>
      <c r="P19" s="19"/>
      <c r="Q19" s="20"/>
      <c r="R19" s="21"/>
    </row>
    <row r="20" spans="1:18" s="1" customFormat="1" ht="21.75" customHeight="1">
      <c r="A20" s="110"/>
      <c r="B20" s="116"/>
      <c r="C20" s="103" t="s">
        <v>13</v>
      </c>
      <c r="D20" s="104"/>
      <c r="E20" s="104"/>
      <c r="F20" s="104"/>
      <c r="G20" s="19"/>
      <c r="H20" s="20"/>
      <c r="I20" s="21"/>
      <c r="J20" s="19"/>
      <c r="K20" s="20"/>
      <c r="L20" s="21"/>
      <c r="M20" s="19"/>
      <c r="N20" s="20"/>
      <c r="O20" s="21"/>
      <c r="P20" s="19"/>
      <c r="Q20" s="20"/>
      <c r="R20" s="21"/>
    </row>
    <row r="21" spans="1:18" s="1" customFormat="1" ht="21.75" customHeight="1">
      <c r="A21" s="110"/>
      <c r="B21" s="116"/>
      <c r="C21" s="103" t="s">
        <v>14</v>
      </c>
      <c r="D21" s="104"/>
      <c r="E21" s="104"/>
      <c r="F21" s="104"/>
      <c r="G21" s="19"/>
      <c r="H21" s="20"/>
      <c r="I21" s="21"/>
      <c r="J21" s="19"/>
      <c r="K21" s="20"/>
      <c r="L21" s="21"/>
      <c r="M21" s="19"/>
      <c r="N21" s="20"/>
      <c r="O21" s="21"/>
      <c r="P21" s="19"/>
      <c r="Q21" s="20"/>
      <c r="R21" s="21"/>
    </row>
    <row r="22" spans="1:18" s="1" customFormat="1" ht="21.75" customHeight="1">
      <c r="A22" s="110"/>
      <c r="B22" s="116"/>
      <c r="C22" s="103" t="s">
        <v>15</v>
      </c>
      <c r="D22" s="104"/>
      <c r="E22" s="104" t="s">
        <v>15</v>
      </c>
      <c r="F22" s="104"/>
      <c r="G22" s="19"/>
      <c r="H22" s="20"/>
      <c r="I22" s="21"/>
      <c r="J22" s="19"/>
      <c r="K22" s="20"/>
      <c r="L22" s="21"/>
      <c r="M22" s="19"/>
      <c r="N22" s="20"/>
      <c r="O22" s="21"/>
      <c r="P22" s="19"/>
      <c r="Q22" s="20"/>
      <c r="R22" s="21"/>
    </row>
    <row r="23" spans="1:18" s="1" customFormat="1" ht="21.75" customHeight="1">
      <c r="A23" s="110"/>
      <c r="B23" s="14" t="s">
        <v>2</v>
      </c>
      <c r="C23" s="103" t="s">
        <v>16</v>
      </c>
      <c r="D23" s="104"/>
      <c r="E23" s="104"/>
      <c r="F23" s="104"/>
      <c r="G23" s="19"/>
      <c r="H23" s="20"/>
      <c r="I23" s="21"/>
      <c r="J23" s="19"/>
      <c r="K23" s="20"/>
      <c r="L23" s="21"/>
      <c r="M23" s="19"/>
      <c r="N23" s="20"/>
      <c r="O23" s="21"/>
      <c r="P23" s="19"/>
      <c r="Q23" s="20"/>
      <c r="R23" s="21"/>
    </row>
    <row r="24" spans="1:18" s="1" customFormat="1" ht="21.75" customHeight="1">
      <c r="A24" s="111"/>
      <c r="B24" s="93" t="s">
        <v>17</v>
      </c>
      <c r="C24" s="94"/>
      <c r="D24" s="94"/>
      <c r="E24" s="94"/>
      <c r="F24" s="94"/>
      <c r="G24" s="26">
        <f>SUM(G25:G27)</f>
        <v>0</v>
      </c>
      <c r="H24" s="27">
        <f t="shared" ref="H24:R24" si="2">SUM(H25:H27)</f>
        <v>0</v>
      </c>
      <c r="I24" s="28">
        <f t="shared" si="2"/>
        <v>0</v>
      </c>
      <c r="J24" s="26">
        <f t="shared" si="2"/>
        <v>0</v>
      </c>
      <c r="K24" s="27">
        <f t="shared" si="2"/>
        <v>0</v>
      </c>
      <c r="L24" s="28">
        <f t="shared" si="2"/>
        <v>0</v>
      </c>
      <c r="M24" s="26">
        <f t="shared" si="2"/>
        <v>0</v>
      </c>
      <c r="N24" s="27">
        <f t="shared" si="2"/>
        <v>0</v>
      </c>
      <c r="O24" s="28">
        <f t="shared" si="2"/>
        <v>0</v>
      </c>
      <c r="P24" s="26">
        <f t="shared" si="2"/>
        <v>0</v>
      </c>
      <c r="Q24" s="27">
        <f t="shared" si="2"/>
        <v>0</v>
      </c>
      <c r="R24" s="28">
        <f t="shared" si="2"/>
        <v>0</v>
      </c>
    </row>
    <row r="25" spans="1:18" s="1" customFormat="1" ht="21.75" customHeight="1">
      <c r="A25" s="109" t="s">
        <v>18</v>
      </c>
      <c r="B25" s="105" t="s">
        <v>1</v>
      </c>
      <c r="C25" s="103" t="s">
        <v>0</v>
      </c>
      <c r="D25" s="104"/>
      <c r="E25" s="104"/>
      <c r="F25" s="104"/>
      <c r="G25" s="19"/>
      <c r="H25" s="20"/>
      <c r="I25" s="21"/>
      <c r="J25" s="19"/>
      <c r="K25" s="20"/>
      <c r="L25" s="21"/>
      <c r="M25" s="19"/>
      <c r="N25" s="20"/>
      <c r="O25" s="21"/>
      <c r="P25" s="19"/>
      <c r="Q25" s="20"/>
      <c r="R25" s="21"/>
    </row>
    <row r="26" spans="1:18" s="1" customFormat="1" ht="21.75" customHeight="1">
      <c r="A26" s="110"/>
      <c r="B26" s="130"/>
      <c r="C26" s="103" t="s">
        <v>21</v>
      </c>
      <c r="D26" s="104"/>
      <c r="E26" s="104"/>
      <c r="F26" s="104"/>
      <c r="G26" s="19"/>
      <c r="H26" s="20"/>
      <c r="I26" s="21"/>
      <c r="J26" s="19"/>
      <c r="K26" s="20"/>
      <c r="L26" s="21"/>
      <c r="M26" s="19"/>
      <c r="N26" s="20"/>
      <c r="O26" s="21"/>
      <c r="P26" s="19"/>
      <c r="Q26" s="20"/>
      <c r="R26" s="21"/>
    </row>
    <row r="27" spans="1:18" s="1" customFormat="1" ht="21.75" customHeight="1">
      <c r="A27" s="110"/>
      <c r="B27" s="130"/>
      <c r="C27" s="105" t="s">
        <v>22</v>
      </c>
      <c r="D27" s="104"/>
      <c r="E27" s="104"/>
      <c r="F27" s="104"/>
      <c r="G27" s="19"/>
      <c r="H27" s="20"/>
      <c r="I27" s="21"/>
      <c r="J27" s="19"/>
      <c r="K27" s="20"/>
      <c r="L27" s="21"/>
      <c r="M27" s="19"/>
      <c r="N27" s="20"/>
      <c r="O27" s="21"/>
      <c r="P27" s="19"/>
      <c r="Q27" s="20"/>
      <c r="R27" s="21"/>
    </row>
    <row r="28" spans="1:18" s="1" customFormat="1" ht="21.75" customHeight="1">
      <c r="A28" s="110"/>
      <c r="B28" s="130"/>
      <c r="C28" s="149" t="s">
        <v>23</v>
      </c>
      <c r="D28" s="106" t="s">
        <v>24</v>
      </c>
      <c r="E28" s="106"/>
      <c r="F28" s="106"/>
      <c r="G28" s="25"/>
      <c r="H28" s="20"/>
      <c r="I28" s="21"/>
      <c r="J28" s="25"/>
      <c r="K28" s="20"/>
      <c r="L28" s="21"/>
      <c r="M28" s="25"/>
      <c r="N28" s="20"/>
      <c r="O28" s="21"/>
      <c r="P28" s="25"/>
      <c r="Q28" s="20"/>
      <c r="R28" s="21"/>
    </row>
    <row r="29" spans="1:18" s="1" customFormat="1" ht="21.75" customHeight="1">
      <c r="A29" s="110"/>
      <c r="B29" s="130"/>
      <c r="C29" s="149"/>
      <c r="D29" s="106" t="s">
        <v>25</v>
      </c>
      <c r="E29" s="107"/>
      <c r="F29" s="107"/>
      <c r="G29" s="26">
        <f>SUM(G30:G32)</f>
        <v>0</v>
      </c>
      <c r="H29" s="27">
        <f t="shared" ref="H29:R29" si="3">SUM(H30:H32)</f>
        <v>0</v>
      </c>
      <c r="I29" s="28">
        <f t="shared" si="3"/>
        <v>0</v>
      </c>
      <c r="J29" s="26">
        <f t="shared" si="3"/>
        <v>0</v>
      </c>
      <c r="K29" s="27">
        <f t="shared" si="3"/>
        <v>0</v>
      </c>
      <c r="L29" s="28">
        <f t="shared" si="3"/>
        <v>0</v>
      </c>
      <c r="M29" s="26">
        <f t="shared" si="3"/>
        <v>0</v>
      </c>
      <c r="N29" s="27">
        <f t="shared" si="3"/>
        <v>0</v>
      </c>
      <c r="O29" s="28">
        <f t="shared" si="3"/>
        <v>0</v>
      </c>
      <c r="P29" s="26">
        <f t="shared" si="3"/>
        <v>0</v>
      </c>
      <c r="Q29" s="27">
        <f t="shared" si="3"/>
        <v>0</v>
      </c>
      <c r="R29" s="28">
        <f t="shared" si="3"/>
        <v>0</v>
      </c>
    </row>
    <row r="30" spans="1:18" s="1" customFormat="1" ht="21.75" customHeight="1">
      <c r="A30" s="110"/>
      <c r="B30" s="130"/>
      <c r="C30" s="149"/>
      <c r="D30" s="9"/>
      <c r="E30" s="101" t="s">
        <v>26</v>
      </c>
      <c r="F30" s="102"/>
      <c r="G30" s="29"/>
      <c r="H30" s="30"/>
      <c r="I30" s="31"/>
      <c r="J30" s="29"/>
      <c r="K30" s="30"/>
      <c r="L30" s="31"/>
      <c r="M30" s="29"/>
      <c r="N30" s="30"/>
      <c r="O30" s="31"/>
      <c r="P30" s="29"/>
      <c r="Q30" s="30"/>
      <c r="R30" s="31"/>
    </row>
    <row r="31" spans="1:18" s="1" customFormat="1" ht="21.75" customHeight="1">
      <c r="A31" s="110"/>
      <c r="B31" s="130"/>
      <c r="C31" s="149"/>
      <c r="D31" s="9"/>
      <c r="E31" s="101" t="s">
        <v>27</v>
      </c>
      <c r="F31" s="102"/>
      <c r="G31" s="29"/>
      <c r="H31" s="30"/>
      <c r="I31" s="31"/>
      <c r="J31" s="29"/>
      <c r="K31" s="30"/>
      <c r="L31" s="31"/>
      <c r="M31" s="29"/>
      <c r="N31" s="30"/>
      <c r="O31" s="31"/>
      <c r="P31" s="29"/>
      <c r="Q31" s="30"/>
      <c r="R31" s="31"/>
    </row>
    <row r="32" spans="1:18" s="1" customFormat="1" ht="21.75" customHeight="1">
      <c r="A32" s="110"/>
      <c r="B32" s="130"/>
      <c r="C32" s="149"/>
      <c r="D32" s="9"/>
      <c r="E32" s="101" t="s">
        <v>28</v>
      </c>
      <c r="F32" s="102"/>
      <c r="G32" s="29"/>
      <c r="H32" s="30"/>
      <c r="I32" s="31"/>
      <c r="J32" s="29"/>
      <c r="K32" s="30"/>
      <c r="L32" s="31"/>
      <c r="M32" s="29"/>
      <c r="N32" s="30"/>
      <c r="O32" s="31"/>
      <c r="P32" s="29"/>
      <c r="Q32" s="30"/>
      <c r="R32" s="31"/>
    </row>
    <row r="33" spans="1:18" s="1" customFormat="1" ht="21.75" customHeight="1">
      <c r="A33" s="110"/>
      <c r="B33" s="130"/>
      <c r="C33" s="149"/>
      <c r="D33" s="106" t="s">
        <v>29</v>
      </c>
      <c r="E33" s="108"/>
      <c r="F33" s="108"/>
      <c r="G33" s="26">
        <f>SUM(G34:G36)</f>
        <v>0</v>
      </c>
      <c r="H33" s="27">
        <f t="shared" ref="H33:R33" si="4">SUM(H34:H36)</f>
        <v>0</v>
      </c>
      <c r="I33" s="28">
        <f t="shared" si="4"/>
        <v>0</v>
      </c>
      <c r="J33" s="26">
        <f t="shared" si="4"/>
        <v>0</v>
      </c>
      <c r="K33" s="27">
        <f t="shared" si="4"/>
        <v>0</v>
      </c>
      <c r="L33" s="28">
        <f t="shared" si="4"/>
        <v>0</v>
      </c>
      <c r="M33" s="26">
        <f t="shared" si="4"/>
        <v>0</v>
      </c>
      <c r="N33" s="27">
        <f t="shared" si="4"/>
        <v>0</v>
      </c>
      <c r="O33" s="28">
        <f t="shared" si="4"/>
        <v>0</v>
      </c>
      <c r="P33" s="26">
        <f t="shared" si="4"/>
        <v>0</v>
      </c>
      <c r="Q33" s="27">
        <f t="shared" si="4"/>
        <v>0</v>
      </c>
      <c r="R33" s="28">
        <f t="shared" si="4"/>
        <v>0</v>
      </c>
    </row>
    <row r="34" spans="1:18" s="1" customFormat="1" ht="21.75" customHeight="1">
      <c r="A34" s="110"/>
      <c r="B34" s="130"/>
      <c r="C34" s="149"/>
      <c r="D34" s="9"/>
      <c r="E34" s="101" t="s">
        <v>26</v>
      </c>
      <c r="F34" s="102"/>
      <c r="G34" s="29"/>
      <c r="H34" s="30"/>
      <c r="I34" s="31"/>
      <c r="J34" s="29"/>
      <c r="K34" s="30"/>
      <c r="L34" s="31"/>
      <c r="M34" s="29"/>
      <c r="N34" s="30"/>
      <c r="O34" s="31"/>
      <c r="P34" s="29"/>
      <c r="Q34" s="30"/>
      <c r="R34" s="31"/>
    </row>
    <row r="35" spans="1:18" s="1" customFormat="1" ht="21.75" customHeight="1">
      <c r="A35" s="110"/>
      <c r="B35" s="130"/>
      <c r="C35" s="149"/>
      <c r="D35" s="9"/>
      <c r="E35" s="101" t="s">
        <v>27</v>
      </c>
      <c r="F35" s="102"/>
      <c r="G35" s="29"/>
      <c r="H35" s="30"/>
      <c r="I35" s="31"/>
      <c r="J35" s="29"/>
      <c r="K35" s="30"/>
      <c r="L35" s="31"/>
      <c r="M35" s="29"/>
      <c r="N35" s="30"/>
      <c r="O35" s="31"/>
      <c r="P35" s="29"/>
      <c r="Q35" s="30"/>
      <c r="R35" s="31"/>
    </row>
    <row r="36" spans="1:18" s="1" customFormat="1" ht="21.75" customHeight="1">
      <c r="A36" s="110"/>
      <c r="B36" s="130"/>
      <c r="C36" s="149"/>
      <c r="D36" s="10"/>
      <c r="E36" s="101" t="s">
        <v>28</v>
      </c>
      <c r="F36" s="102"/>
      <c r="G36" s="29"/>
      <c r="H36" s="30"/>
      <c r="I36" s="31"/>
      <c r="J36" s="29"/>
      <c r="K36" s="30"/>
      <c r="L36" s="31"/>
      <c r="M36" s="29"/>
      <c r="N36" s="30"/>
      <c r="O36" s="31"/>
      <c r="P36" s="29"/>
      <c r="Q36" s="30"/>
      <c r="R36" s="31"/>
    </row>
    <row r="37" spans="1:18" s="1" customFormat="1" ht="21.75" customHeight="1">
      <c r="A37" s="110"/>
      <c r="B37" s="93"/>
      <c r="C37" s="149"/>
      <c r="D37" s="15" t="s">
        <v>30</v>
      </c>
      <c r="E37" s="11"/>
      <c r="F37" s="11"/>
      <c r="G37" s="32"/>
      <c r="H37" s="33"/>
      <c r="I37" s="34"/>
      <c r="J37" s="32"/>
      <c r="K37" s="33"/>
      <c r="L37" s="34"/>
      <c r="M37" s="32"/>
      <c r="N37" s="33"/>
      <c r="O37" s="34"/>
      <c r="P37" s="32"/>
      <c r="Q37" s="33"/>
      <c r="R37" s="34"/>
    </row>
    <row r="38" spans="1:18" s="1" customFormat="1" ht="21.75" customHeight="1">
      <c r="A38" s="110"/>
      <c r="B38" s="103" t="s">
        <v>31</v>
      </c>
      <c r="C38" s="94"/>
      <c r="D38" s="104"/>
      <c r="E38" s="104"/>
      <c r="F38" s="104"/>
      <c r="G38" s="26">
        <f>G25+G26+G28+G29+G33</f>
        <v>0</v>
      </c>
      <c r="H38" s="27">
        <f t="shared" ref="H38:R38" si="5">H25+H26+H28+H29+H33</f>
        <v>0</v>
      </c>
      <c r="I38" s="28">
        <f t="shared" si="5"/>
        <v>0</v>
      </c>
      <c r="J38" s="26">
        <f t="shared" si="5"/>
        <v>0</v>
      </c>
      <c r="K38" s="27">
        <f t="shared" si="5"/>
        <v>0</v>
      </c>
      <c r="L38" s="28">
        <f t="shared" si="5"/>
        <v>0</v>
      </c>
      <c r="M38" s="26">
        <f t="shared" si="5"/>
        <v>0</v>
      </c>
      <c r="N38" s="27">
        <f t="shared" si="5"/>
        <v>0</v>
      </c>
      <c r="O38" s="28">
        <f t="shared" si="5"/>
        <v>0</v>
      </c>
      <c r="P38" s="26">
        <f t="shared" si="5"/>
        <v>0</v>
      </c>
      <c r="Q38" s="27">
        <f t="shared" si="5"/>
        <v>0</v>
      </c>
      <c r="R38" s="28">
        <f t="shared" si="5"/>
        <v>0</v>
      </c>
    </row>
    <row r="39" spans="1:18" s="1" customFormat="1" ht="21.75" customHeight="1">
      <c r="A39" s="110"/>
      <c r="B39" s="109" t="s">
        <v>1</v>
      </c>
      <c r="C39" s="109" t="s">
        <v>32</v>
      </c>
      <c r="D39" s="112" t="s">
        <v>33</v>
      </c>
      <c r="E39" s="107"/>
      <c r="F39" s="107"/>
      <c r="G39" s="26">
        <f>SUM(G40:G42)</f>
        <v>0</v>
      </c>
      <c r="H39" s="27">
        <f t="shared" ref="H39:R39" si="6">SUM(H40:H42)</f>
        <v>0</v>
      </c>
      <c r="I39" s="28">
        <f t="shared" si="6"/>
        <v>0</v>
      </c>
      <c r="J39" s="26">
        <f t="shared" si="6"/>
        <v>0</v>
      </c>
      <c r="K39" s="27">
        <f t="shared" si="6"/>
        <v>0</v>
      </c>
      <c r="L39" s="28">
        <f t="shared" si="6"/>
        <v>0</v>
      </c>
      <c r="M39" s="26">
        <f t="shared" si="6"/>
        <v>0</v>
      </c>
      <c r="N39" s="27">
        <f t="shared" si="6"/>
        <v>0</v>
      </c>
      <c r="O39" s="28">
        <f t="shared" si="6"/>
        <v>0</v>
      </c>
      <c r="P39" s="26">
        <f t="shared" si="6"/>
        <v>0</v>
      </c>
      <c r="Q39" s="27">
        <f t="shared" si="6"/>
        <v>0</v>
      </c>
      <c r="R39" s="28">
        <f t="shared" si="6"/>
        <v>0</v>
      </c>
    </row>
    <row r="40" spans="1:18" s="1" customFormat="1" ht="21.75" customHeight="1">
      <c r="A40" s="110"/>
      <c r="B40" s="110"/>
      <c r="C40" s="110"/>
      <c r="D40" s="9"/>
      <c r="E40" s="101" t="s">
        <v>34</v>
      </c>
      <c r="F40" s="102"/>
      <c r="G40" s="29"/>
      <c r="H40" s="35"/>
      <c r="I40" s="21"/>
      <c r="J40" s="29"/>
      <c r="K40" s="35"/>
      <c r="L40" s="21"/>
      <c r="M40" s="29"/>
      <c r="N40" s="35"/>
      <c r="O40" s="21"/>
      <c r="P40" s="29"/>
      <c r="Q40" s="35"/>
      <c r="R40" s="21"/>
    </row>
    <row r="41" spans="1:18" s="1" customFormat="1" ht="21.75" customHeight="1">
      <c r="A41" s="110"/>
      <c r="B41" s="110"/>
      <c r="C41" s="110"/>
      <c r="D41" s="9"/>
      <c r="E41" s="101" t="s">
        <v>35</v>
      </c>
      <c r="F41" s="102"/>
      <c r="G41" s="29"/>
      <c r="H41" s="35"/>
      <c r="I41" s="21"/>
      <c r="J41" s="29"/>
      <c r="K41" s="35"/>
      <c r="L41" s="21"/>
      <c r="M41" s="29"/>
      <c r="N41" s="35"/>
      <c r="O41" s="21"/>
      <c r="P41" s="29"/>
      <c r="Q41" s="35"/>
      <c r="R41" s="21"/>
    </row>
    <row r="42" spans="1:18" s="1" customFormat="1" ht="21.75" customHeight="1">
      <c r="A42" s="110"/>
      <c r="B42" s="110"/>
      <c r="C42" s="110"/>
      <c r="D42" s="9"/>
      <c r="E42" s="101" t="s">
        <v>28</v>
      </c>
      <c r="F42" s="102"/>
      <c r="G42" s="29"/>
      <c r="H42" s="35"/>
      <c r="I42" s="21"/>
      <c r="J42" s="29"/>
      <c r="K42" s="35"/>
      <c r="L42" s="21"/>
      <c r="M42" s="29"/>
      <c r="N42" s="35"/>
      <c r="O42" s="21"/>
      <c r="P42" s="29"/>
      <c r="Q42" s="35"/>
      <c r="R42" s="21"/>
    </row>
    <row r="43" spans="1:18" s="1" customFormat="1" ht="21.75" customHeight="1">
      <c r="A43" s="110"/>
      <c r="B43" s="110"/>
      <c r="C43" s="110"/>
      <c r="D43" s="106" t="s">
        <v>36</v>
      </c>
      <c r="E43" s="108" t="s">
        <v>36</v>
      </c>
      <c r="F43" s="108" t="s">
        <v>26</v>
      </c>
      <c r="G43" s="26">
        <f>SUM(G44:G46)</f>
        <v>0</v>
      </c>
      <c r="H43" s="27">
        <f t="shared" ref="H43:R43" si="7">SUM(H44:H46)</f>
        <v>0</v>
      </c>
      <c r="I43" s="28">
        <f t="shared" si="7"/>
        <v>0</v>
      </c>
      <c r="J43" s="26">
        <f t="shared" si="7"/>
        <v>0</v>
      </c>
      <c r="K43" s="27">
        <f t="shared" si="7"/>
        <v>0</v>
      </c>
      <c r="L43" s="28">
        <f t="shared" si="7"/>
        <v>0</v>
      </c>
      <c r="M43" s="26">
        <f t="shared" si="7"/>
        <v>0</v>
      </c>
      <c r="N43" s="27">
        <f t="shared" si="7"/>
        <v>0</v>
      </c>
      <c r="O43" s="28">
        <f t="shared" si="7"/>
        <v>0</v>
      </c>
      <c r="P43" s="26">
        <f t="shared" si="7"/>
        <v>0</v>
      </c>
      <c r="Q43" s="27">
        <f t="shared" si="7"/>
        <v>0</v>
      </c>
      <c r="R43" s="28">
        <f t="shared" si="7"/>
        <v>0</v>
      </c>
    </row>
    <row r="44" spans="1:18" s="1" customFormat="1" ht="21.75" customHeight="1">
      <c r="A44" s="110"/>
      <c r="B44" s="110"/>
      <c r="C44" s="110"/>
      <c r="D44" s="9"/>
      <c r="E44" s="101" t="s">
        <v>34</v>
      </c>
      <c r="F44" s="102"/>
      <c r="G44" s="29"/>
      <c r="H44" s="35"/>
      <c r="I44" s="21"/>
      <c r="J44" s="29"/>
      <c r="K44" s="35"/>
      <c r="L44" s="21"/>
      <c r="M44" s="29"/>
      <c r="N44" s="35"/>
      <c r="O44" s="21"/>
      <c r="P44" s="29"/>
      <c r="Q44" s="35"/>
      <c r="R44" s="21"/>
    </row>
    <row r="45" spans="1:18" s="1" customFormat="1" ht="21.75" customHeight="1">
      <c r="A45" s="110"/>
      <c r="B45" s="110"/>
      <c r="C45" s="110"/>
      <c r="D45" s="9"/>
      <c r="E45" s="101" t="s">
        <v>35</v>
      </c>
      <c r="F45" s="102"/>
      <c r="G45" s="29"/>
      <c r="H45" s="35"/>
      <c r="I45" s="21"/>
      <c r="J45" s="29"/>
      <c r="K45" s="35"/>
      <c r="L45" s="21"/>
      <c r="M45" s="29"/>
      <c r="N45" s="35"/>
      <c r="O45" s="21"/>
      <c r="P45" s="29"/>
      <c r="Q45" s="35"/>
      <c r="R45" s="21"/>
    </row>
    <row r="46" spans="1:18" s="1" customFormat="1" ht="21.75" customHeight="1">
      <c r="A46" s="110"/>
      <c r="B46" s="110"/>
      <c r="C46" s="110"/>
      <c r="D46" s="9"/>
      <c r="E46" s="126" t="s">
        <v>28</v>
      </c>
      <c r="F46" s="127"/>
      <c r="G46" s="36"/>
      <c r="H46" s="37"/>
      <c r="I46" s="38"/>
      <c r="J46" s="36"/>
      <c r="K46" s="37"/>
      <c r="L46" s="38"/>
      <c r="M46" s="36"/>
      <c r="N46" s="37"/>
      <c r="O46" s="38"/>
      <c r="P46" s="36"/>
      <c r="Q46" s="37"/>
      <c r="R46" s="38"/>
    </row>
    <row r="47" spans="1:18" s="1" customFormat="1" ht="21.75" customHeight="1">
      <c r="A47" s="110"/>
      <c r="B47" s="110"/>
      <c r="C47" s="118" t="s">
        <v>50</v>
      </c>
      <c r="D47" s="120" t="s">
        <v>51</v>
      </c>
      <c r="E47" s="121"/>
      <c r="F47" s="121"/>
      <c r="G47" s="25"/>
      <c r="H47" s="20"/>
      <c r="I47" s="21"/>
      <c r="J47" s="22"/>
      <c r="K47" s="23"/>
      <c r="L47" s="24"/>
      <c r="M47" s="25"/>
      <c r="N47" s="20"/>
      <c r="O47" s="21"/>
      <c r="P47" s="25"/>
      <c r="Q47" s="20"/>
      <c r="R47" s="21"/>
    </row>
    <row r="48" spans="1:18">
      <c r="A48" s="110"/>
      <c r="B48" s="110"/>
      <c r="C48" s="119"/>
      <c r="D48" s="120" t="s">
        <v>52</v>
      </c>
      <c r="E48" s="121"/>
      <c r="F48" s="121"/>
      <c r="G48" s="25"/>
      <c r="H48" s="20"/>
      <c r="I48" s="21"/>
      <c r="J48" s="22"/>
      <c r="K48" s="23"/>
      <c r="L48" s="24"/>
      <c r="M48" s="25"/>
      <c r="N48" s="20"/>
      <c r="O48" s="21"/>
      <c r="P48" s="25"/>
      <c r="Q48" s="20"/>
      <c r="R48" s="21"/>
    </row>
    <row r="49" spans="1:18">
      <c r="A49" s="110"/>
      <c r="B49" s="110"/>
      <c r="C49" s="128" t="s">
        <v>37</v>
      </c>
      <c r="D49" s="129"/>
      <c r="E49" s="129"/>
      <c r="F49" s="129"/>
      <c r="G49" s="39"/>
      <c r="H49" s="40"/>
      <c r="I49" s="34"/>
      <c r="J49" s="39"/>
      <c r="K49" s="40"/>
      <c r="L49" s="34"/>
      <c r="M49" s="39"/>
      <c r="N49" s="40"/>
      <c r="O49" s="34"/>
      <c r="P49" s="39"/>
      <c r="Q49" s="40"/>
      <c r="R49" s="34"/>
    </row>
    <row r="50" spans="1:18">
      <c r="A50" s="110"/>
      <c r="B50" s="111"/>
      <c r="C50" s="112" t="s">
        <v>15</v>
      </c>
      <c r="D50" s="106"/>
      <c r="E50" s="106"/>
      <c r="F50" s="106"/>
      <c r="G50" s="25"/>
      <c r="H50" s="20"/>
      <c r="I50" s="21"/>
      <c r="J50" s="25"/>
      <c r="K50" s="20"/>
      <c r="L50" s="21"/>
      <c r="M50" s="25"/>
      <c r="N50" s="20"/>
      <c r="O50" s="21"/>
      <c r="P50" s="25"/>
      <c r="Q50" s="20"/>
      <c r="R50" s="21"/>
    </row>
    <row r="51" spans="1:18">
      <c r="A51" s="110"/>
      <c r="B51" s="14" t="s">
        <v>2</v>
      </c>
      <c r="C51" s="112" t="s">
        <v>16</v>
      </c>
      <c r="D51" s="106"/>
      <c r="E51" s="106"/>
      <c r="F51" s="106"/>
      <c r="G51" s="25"/>
      <c r="H51" s="20"/>
      <c r="I51" s="21"/>
      <c r="J51" s="25"/>
      <c r="K51" s="20"/>
      <c r="L51" s="21"/>
      <c r="M51" s="25"/>
      <c r="N51" s="20"/>
      <c r="O51" s="21"/>
      <c r="P51" s="25"/>
      <c r="Q51" s="20"/>
      <c r="R51" s="21"/>
    </row>
    <row r="52" spans="1:18">
      <c r="A52" s="110"/>
      <c r="B52" s="103" t="s">
        <v>38</v>
      </c>
      <c r="C52" s="104"/>
      <c r="D52" s="104"/>
      <c r="E52" s="104"/>
      <c r="F52" s="104"/>
      <c r="G52" s="26">
        <f>G39+G43+G47+G48+G49+G50+G51</f>
        <v>0</v>
      </c>
      <c r="H52" s="27">
        <f t="shared" ref="H52:Q52" si="8">H39+H43+H47+H48+H49+H50+H51</f>
        <v>0</v>
      </c>
      <c r="I52" s="28">
        <f t="shared" si="8"/>
        <v>0</v>
      </c>
      <c r="J52" s="26">
        <f t="shared" si="8"/>
        <v>0</v>
      </c>
      <c r="K52" s="27">
        <f t="shared" si="8"/>
        <v>0</v>
      </c>
      <c r="L52" s="28">
        <f t="shared" si="8"/>
        <v>0</v>
      </c>
      <c r="M52" s="26">
        <f t="shared" si="8"/>
        <v>0</v>
      </c>
      <c r="N52" s="27">
        <f t="shared" si="8"/>
        <v>0</v>
      </c>
      <c r="O52" s="28">
        <f t="shared" si="8"/>
        <v>0</v>
      </c>
      <c r="P52" s="26">
        <f t="shared" si="8"/>
        <v>0</v>
      </c>
      <c r="Q52" s="27">
        <f t="shared" si="8"/>
        <v>0</v>
      </c>
      <c r="R52" s="28">
        <f>R39+R43+R47+R48+R49+R50+R51</f>
        <v>0</v>
      </c>
    </row>
    <row r="53" spans="1:18">
      <c r="A53" s="111"/>
      <c r="B53" s="103" t="s">
        <v>39</v>
      </c>
      <c r="C53" s="104"/>
      <c r="D53" s="104"/>
      <c r="E53" s="104"/>
      <c r="F53" s="104"/>
      <c r="G53" s="26">
        <f>G38+G52</f>
        <v>0</v>
      </c>
      <c r="H53" s="27">
        <f t="shared" ref="H53:R53" si="9">H38+H52</f>
        <v>0</v>
      </c>
      <c r="I53" s="28">
        <f t="shared" si="9"/>
        <v>0</v>
      </c>
      <c r="J53" s="26">
        <f t="shared" si="9"/>
        <v>0</v>
      </c>
      <c r="K53" s="27">
        <f t="shared" si="9"/>
        <v>0</v>
      </c>
      <c r="L53" s="28">
        <f t="shared" si="9"/>
        <v>0</v>
      </c>
      <c r="M53" s="26">
        <f t="shared" si="9"/>
        <v>0</v>
      </c>
      <c r="N53" s="27">
        <f t="shared" si="9"/>
        <v>0</v>
      </c>
      <c r="O53" s="28">
        <f t="shared" si="9"/>
        <v>0</v>
      </c>
      <c r="P53" s="26">
        <f t="shared" si="9"/>
        <v>0</v>
      </c>
      <c r="Q53" s="27">
        <f t="shared" si="9"/>
        <v>0</v>
      </c>
      <c r="R53" s="28">
        <f t="shared" si="9"/>
        <v>0</v>
      </c>
    </row>
    <row r="54" spans="1:18">
      <c r="A54" s="124" t="s">
        <v>53</v>
      </c>
      <c r="B54" s="125"/>
      <c r="C54" s="125"/>
      <c r="D54" s="125"/>
      <c r="E54" s="125"/>
      <c r="F54" s="125"/>
      <c r="G54" s="41"/>
      <c r="H54" s="42"/>
      <c r="I54" s="43"/>
      <c r="J54" s="41"/>
      <c r="K54" s="42"/>
      <c r="L54" s="43"/>
      <c r="M54" s="41"/>
      <c r="N54" s="42"/>
      <c r="O54" s="43"/>
      <c r="P54" s="41"/>
      <c r="Q54" s="42"/>
      <c r="R54" s="43"/>
    </row>
    <row r="55" spans="1:18" ht="17.25" thickBot="1">
      <c r="A55" s="124" t="s">
        <v>54</v>
      </c>
      <c r="B55" s="125"/>
      <c r="C55" s="125"/>
      <c r="D55" s="125"/>
      <c r="E55" s="125"/>
      <c r="F55" s="125"/>
      <c r="G55" s="44"/>
      <c r="H55" s="45"/>
      <c r="I55" s="46"/>
      <c r="J55" s="44"/>
      <c r="K55" s="45"/>
      <c r="L55" s="46"/>
      <c r="M55" s="44"/>
      <c r="N55" s="45"/>
      <c r="O55" s="46"/>
      <c r="P55" s="44"/>
      <c r="Q55" s="45"/>
      <c r="R55" s="46"/>
    </row>
    <row r="56" spans="1:18">
      <c r="A56" s="47"/>
      <c r="B56" s="47"/>
      <c r="C56" s="47"/>
      <c r="D56" s="47"/>
      <c r="E56" s="47"/>
      <c r="F56" s="4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>
      <c r="A57" s="48" t="s">
        <v>55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>
      <c r="A58" s="1" t="s">
        <v>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49" t="s">
        <v>56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 s="13" customFormat="1">
      <c r="A60" s="49" t="s">
        <v>57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 s="13" customFormat="1">
      <c r="A61" s="1" t="s">
        <v>41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s="13" customFormat="1">
      <c r="A62" s="1" t="s">
        <v>42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s="13" customFormat="1">
      <c r="A63" s="1" t="s">
        <v>58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s="13" customFormat="1">
      <c r="A64" s="1" t="s">
        <v>43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s="13" customFormat="1">
      <c r="A65" s="1" t="s">
        <v>44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s="13" customFormat="1">
      <c r="A66" s="1" t="s">
        <v>59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s="13" customFormat="1">
      <c r="A67" s="1" t="s">
        <v>60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s="13" customFormat="1">
      <c r="A68" s="1" t="s">
        <v>61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s="13" customFormat="1">
      <c r="A69" s="1" t="s">
        <v>62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s="13" customFormat="1">
      <c r="A70" s="1" t="s">
        <v>63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s="137" customFormat="1">
      <c r="A71" s="136" t="s">
        <v>64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</row>
    <row r="72" spans="1:18" s="13" customFormat="1">
      <c r="A72" s="1" t="s">
        <v>65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 t="s">
        <v>66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 t="s">
        <v>67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 t="s">
        <v>68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 t="s">
        <v>69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1" t="s">
        <v>70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1" t="s">
        <v>45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s="1" customFormat="1">
      <c r="A79" s="1" t="s">
        <v>71</v>
      </c>
    </row>
    <row r="80" spans="1:18" s="1" customFormat="1">
      <c r="A80" s="1" t="s">
        <v>110</v>
      </c>
    </row>
    <row r="81" spans="1:21" s="1" customFormat="1">
      <c r="A81" s="1" t="s">
        <v>72</v>
      </c>
    </row>
    <row r="82" spans="1:21" s="1" customFormat="1">
      <c r="A82" s="1" t="s">
        <v>73</v>
      </c>
    </row>
    <row r="83" spans="1:21" s="1" customFormat="1">
      <c r="A83" s="1" t="s">
        <v>74</v>
      </c>
    </row>
    <row r="84" spans="1:21" s="1" customFormat="1">
      <c r="A84" s="1" t="s">
        <v>75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1:21" s="1" customFormat="1">
      <c r="A85" s="1" t="s">
        <v>76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1:21" s="1" customFormat="1">
      <c r="A86" s="49" t="s">
        <v>111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 t="s">
        <v>77</v>
      </c>
      <c r="N86" s="49"/>
      <c r="O86" s="49"/>
      <c r="P86" s="49"/>
      <c r="Q86" s="49"/>
      <c r="R86" s="49"/>
    </row>
    <row r="87" spans="1:21" s="1" customFormat="1">
      <c r="A87" s="49" t="s">
        <v>80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21" s="1" customFormat="1">
      <c r="A88" s="49" t="s">
        <v>81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21" s="1" customFormat="1">
      <c r="A89" s="49" t="s">
        <v>112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21" s="1" customFormat="1">
      <c r="A90" s="1" t="s">
        <v>113</v>
      </c>
    </row>
    <row r="91" spans="1:21" s="1" customFormat="1">
      <c r="A91" s="1" t="s">
        <v>114</v>
      </c>
    </row>
    <row r="92" spans="1:21" s="1" customFormat="1">
      <c r="A92" s="1" t="s">
        <v>115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s="1" customFormat="1">
      <c r="A93" s="1" t="s">
        <v>78</v>
      </c>
      <c r="S93" s="12"/>
      <c r="T93" s="12"/>
      <c r="U93" s="12"/>
    </row>
    <row r="94" spans="1:21" s="1" customFormat="1">
      <c r="A94" s="1" t="s">
        <v>79</v>
      </c>
      <c r="S94" s="12"/>
      <c r="T94" s="12"/>
      <c r="U94" s="12"/>
    </row>
    <row r="95" spans="1:21" s="1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s="1" customForma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s="1" customFormat="1" ht="24">
      <c r="A97" s="48" t="s">
        <v>85</v>
      </c>
      <c r="B97" s="54"/>
      <c r="C97" s="54"/>
      <c r="D97" s="54"/>
      <c r="E97" s="54"/>
      <c r="F97" s="54"/>
      <c r="G97" s="54"/>
      <c r="H97" s="54"/>
      <c r="I97" s="5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s="1" customFormat="1">
      <c r="B98" s="54"/>
      <c r="C98" s="54"/>
      <c r="D98" s="54"/>
      <c r="E98" s="54"/>
      <c r="F98" s="54"/>
      <c r="G98" s="54"/>
      <c r="H98" s="54"/>
      <c r="I98" s="54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s="1" customFormat="1">
      <c r="A99" s="55" t="s">
        <v>86</v>
      </c>
      <c r="B99" s="54"/>
      <c r="C99" s="54"/>
      <c r="D99" s="54"/>
      <c r="E99" s="54"/>
      <c r="F99" s="54"/>
      <c r="G99" s="54"/>
      <c r="H99" s="54"/>
      <c r="I99" s="54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s="1" customForma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s="1" customForma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s="1" customForma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s="1" customForma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s="1" customForma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s="1" customForma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s="1" customForma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s="1" customForma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s="1" customForma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s="1" customFormat="1" ht="4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</sheetData>
  <mergeCells count="60">
    <mergeCell ref="A54:F54"/>
    <mergeCell ref="A55:F55"/>
    <mergeCell ref="C50:F50"/>
    <mergeCell ref="E35:F35"/>
    <mergeCell ref="C51:F51"/>
    <mergeCell ref="B52:F52"/>
    <mergeCell ref="B53:F53"/>
    <mergeCell ref="E46:F46"/>
    <mergeCell ref="C47:C48"/>
    <mergeCell ref="D47:F47"/>
    <mergeCell ref="D48:F48"/>
    <mergeCell ref="C49:F49"/>
    <mergeCell ref="A25:A53"/>
    <mergeCell ref="B25:B37"/>
    <mergeCell ref="C25:F25"/>
    <mergeCell ref="C26:F26"/>
    <mergeCell ref="G10:I10"/>
    <mergeCell ref="J10:L10"/>
    <mergeCell ref="M10:O10"/>
    <mergeCell ref="P10:R10"/>
    <mergeCell ref="A12:A24"/>
    <mergeCell ref="B12:B22"/>
    <mergeCell ref="C12:C17"/>
    <mergeCell ref="D13:D14"/>
    <mergeCell ref="E13:F13"/>
    <mergeCell ref="E14:F14"/>
    <mergeCell ref="D15:F15"/>
    <mergeCell ref="D16:D17"/>
    <mergeCell ref="E16:F16"/>
    <mergeCell ref="E17:F17"/>
    <mergeCell ref="C18:C19"/>
    <mergeCell ref="D18:F18"/>
    <mergeCell ref="D28:F28"/>
    <mergeCell ref="E31:F31"/>
    <mergeCell ref="E41:F41"/>
    <mergeCell ref="E34:F34"/>
    <mergeCell ref="B38:F38"/>
    <mergeCell ref="B39:B50"/>
    <mergeCell ref="C39:C46"/>
    <mergeCell ref="D39:F39"/>
    <mergeCell ref="E42:F42"/>
    <mergeCell ref="D43:F43"/>
    <mergeCell ref="E44:F44"/>
    <mergeCell ref="E45:F45"/>
    <mergeCell ref="D12:F12"/>
    <mergeCell ref="A10:F11"/>
    <mergeCell ref="E36:F36"/>
    <mergeCell ref="E40:F40"/>
    <mergeCell ref="C20:F20"/>
    <mergeCell ref="C22:F22"/>
    <mergeCell ref="C21:F21"/>
    <mergeCell ref="E30:F30"/>
    <mergeCell ref="D19:F19"/>
    <mergeCell ref="C27:F27"/>
    <mergeCell ref="C28:C37"/>
    <mergeCell ref="D29:F29"/>
    <mergeCell ref="E32:F32"/>
    <mergeCell ref="D33:F33"/>
    <mergeCell ref="C23:F23"/>
    <mergeCell ref="B24:F2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6" orientation="landscape" r:id="rId1"/>
  <rowBreaks count="1" manualBreakCount="1">
    <brk id="47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C9FB-EA4F-4D2A-8BA6-2C5D6F8589E2}">
  <sheetPr>
    <tabColor rgb="FFFF0000"/>
  </sheetPr>
  <dimension ref="A1:U118"/>
  <sheetViews>
    <sheetView topLeftCell="A22" zoomScale="75" zoomScaleNormal="75" workbookViewId="0">
      <selection activeCell="C28" sqref="C28:C37"/>
    </sheetView>
  </sheetViews>
  <sheetFormatPr defaultColWidth="9" defaultRowHeight="16.5"/>
  <cols>
    <col min="1" max="1" width="12" style="12" customWidth="1"/>
    <col min="2" max="2" width="7.25" style="12" customWidth="1"/>
    <col min="3" max="3" width="10.25" style="12" customWidth="1"/>
    <col min="4" max="4" width="7.25" style="12" customWidth="1"/>
    <col min="5" max="5" width="5" style="12" customWidth="1"/>
    <col min="6" max="7" width="15.25" style="12" customWidth="1"/>
    <col min="8" max="9" width="11.5" style="12" customWidth="1"/>
    <col min="10" max="10" width="9" style="12"/>
    <col min="11" max="11" width="14.625" style="12" customWidth="1"/>
    <col min="12" max="12" width="12.75" style="12" customWidth="1"/>
    <col min="13" max="13" width="9" style="12"/>
    <col min="14" max="15" width="12.875" style="12" customWidth="1"/>
    <col min="16" max="16" width="9" style="12"/>
    <col min="17" max="17" width="12.25" style="12" customWidth="1"/>
    <col min="18" max="18" width="18.75" style="12" customWidth="1"/>
    <col min="19" max="16384" width="9" style="12"/>
  </cols>
  <sheetData>
    <row r="1" spans="1:18" s="1" customFormat="1">
      <c r="A1" s="2"/>
      <c r="B1" s="2"/>
      <c r="C1" s="2"/>
      <c r="D1" s="2"/>
      <c r="E1" s="2"/>
      <c r="F1" s="2"/>
      <c r="G1" s="2"/>
      <c r="H1" s="2"/>
      <c r="I1" s="2"/>
    </row>
    <row r="2" spans="1:18" s="1" customFormat="1" ht="24.75" customHeight="1">
      <c r="A2" s="3" t="s">
        <v>19</v>
      </c>
      <c r="B2" s="3"/>
      <c r="C2" s="4"/>
      <c r="D2" s="4"/>
      <c r="E2" s="4"/>
      <c r="F2" s="5"/>
      <c r="G2" s="5"/>
      <c r="H2" s="2"/>
      <c r="I2" s="2"/>
    </row>
    <row r="3" spans="1:18" s="1" customFormat="1">
      <c r="A3" s="2"/>
      <c r="B3" s="2"/>
      <c r="C3" s="2"/>
      <c r="D3" s="2"/>
      <c r="E3" s="2"/>
      <c r="F3" s="2"/>
      <c r="G3" s="2"/>
      <c r="H3" s="2"/>
      <c r="I3" s="2"/>
    </row>
    <row r="4" spans="1:18" s="1" customFormat="1">
      <c r="A4" s="6"/>
      <c r="B4" s="6"/>
      <c r="C4" s="7"/>
      <c r="D4" s="7"/>
      <c r="E4" s="7"/>
      <c r="F4" s="2"/>
      <c r="G4" s="2"/>
      <c r="H4" s="2"/>
      <c r="I4" s="2"/>
    </row>
    <row r="5" spans="1:18" s="1" customFormat="1">
      <c r="A5" s="6"/>
      <c r="B5" s="6"/>
      <c r="C5" s="2"/>
      <c r="D5" s="2"/>
      <c r="E5" s="2"/>
      <c r="F5" s="2"/>
      <c r="G5" s="2"/>
    </row>
    <row r="6" spans="1:18" s="1" customFormat="1">
      <c r="A6" s="6"/>
      <c r="B6" s="6"/>
      <c r="C6" s="2"/>
      <c r="D6" s="2"/>
      <c r="E6" s="2"/>
      <c r="F6" s="2"/>
      <c r="G6" s="2"/>
    </row>
    <row r="7" spans="1:18" s="1" customFormat="1">
      <c r="A7" s="6"/>
      <c r="B7" s="6"/>
      <c r="C7" s="7"/>
      <c r="D7" s="7"/>
      <c r="E7" s="7"/>
      <c r="F7" s="2"/>
      <c r="G7" s="2"/>
    </row>
    <row r="8" spans="1:18" s="1" customFormat="1">
      <c r="A8" s="6"/>
      <c r="B8" s="6"/>
      <c r="C8" s="2"/>
      <c r="D8" s="2"/>
      <c r="E8" s="2"/>
      <c r="F8" s="2"/>
      <c r="G8" s="2"/>
    </row>
    <row r="9" spans="1:18" s="1" customFormat="1" ht="17.25" thickBot="1">
      <c r="R9" s="8" t="s">
        <v>4</v>
      </c>
    </row>
    <row r="10" spans="1:18" s="1" customFormat="1" ht="17.45" customHeight="1">
      <c r="A10" s="95" t="s">
        <v>46</v>
      </c>
      <c r="B10" s="96"/>
      <c r="C10" s="96"/>
      <c r="D10" s="96"/>
      <c r="E10" s="96"/>
      <c r="F10" s="96"/>
      <c r="G10" s="113" t="s">
        <v>83</v>
      </c>
      <c r="H10" s="114"/>
      <c r="I10" s="115"/>
      <c r="J10" s="114" t="s">
        <v>47</v>
      </c>
      <c r="K10" s="114"/>
      <c r="L10" s="115"/>
      <c r="M10" s="113" t="s">
        <v>82</v>
      </c>
      <c r="N10" s="114"/>
      <c r="O10" s="115"/>
      <c r="P10" s="113" t="s">
        <v>84</v>
      </c>
      <c r="Q10" s="114"/>
      <c r="R10" s="115"/>
    </row>
    <row r="11" spans="1:18" s="1" customFormat="1" ht="21.75" customHeight="1">
      <c r="A11" s="98"/>
      <c r="B11" s="99"/>
      <c r="C11" s="99"/>
      <c r="D11" s="99"/>
      <c r="E11" s="99"/>
      <c r="F11" s="99"/>
      <c r="G11" s="50" t="s">
        <v>20</v>
      </c>
      <c r="H11" s="51" t="s">
        <v>5</v>
      </c>
      <c r="I11" s="52" t="s">
        <v>6</v>
      </c>
      <c r="J11" s="61" t="s">
        <v>20</v>
      </c>
      <c r="K11" s="51" t="s">
        <v>5</v>
      </c>
      <c r="L11" s="52" t="s">
        <v>6</v>
      </c>
      <c r="M11" s="50" t="s">
        <v>20</v>
      </c>
      <c r="N11" s="51" t="s">
        <v>5</v>
      </c>
      <c r="O11" s="52" t="s">
        <v>6</v>
      </c>
      <c r="P11" s="50" t="s">
        <v>20</v>
      </c>
      <c r="Q11" s="51" t="s">
        <v>5</v>
      </c>
      <c r="R11" s="52" t="s">
        <v>6</v>
      </c>
    </row>
    <row r="12" spans="1:18" s="1" customFormat="1" ht="21.75" customHeight="1">
      <c r="A12" s="110" t="s">
        <v>7</v>
      </c>
      <c r="B12" s="111" t="s">
        <v>1</v>
      </c>
      <c r="C12" s="117" t="s">
        <v>3</v>
      </c>
      <c r="D12" s="93" t="s">
        <v>8</v>
      </c>
      <c r="E12" s="94"/>
      <c r="F12" s="94"/>
      <c r="G12" s="16">
        <f>G13+G14</f>
        <v>0</v>
      </c>
      <c r="H12" s="17">
        <f>H13+H14</f>
        <v>0</v>
      </c>
      <c r="I12" s="18">
        <f>I13+I14</f>
        <v>0</v>
      </c>
      <c r="J12" s="35"/>
      <c r="K12" s="20"/>
      <c r="L12" s="78"/>
      <c r="M12" s="19"/>
      <c r="N12" s="20"/>
      <c r="O12" s="21"/>
      <c r="P12" s="35"/>
      <c r="Q12" s="20"/>
      <c r="R12" s="21"/>
    </row>
    <row r="13" spans="1:18" s="1" customFormat="1" ht="21.75" customHeight="1">
      <c r="A13" s="110"/>
      <c r="B13" s="111"/>
      <c r="C13" s="110"/>
      <c r="D13" s="118"/>
      <c r="E13" s="120" t="s">
        <v>48</v>
      </c>
      <c r="F13" s="121"/>
      <c r="G13" s="19"/>
      <c r="H13" s="20"/>
      <c r="I13" s="21"/>
      <c r="J13" s="62"/>
      <c r="K13" s="23"/>
      <c r="L13" s="79"/>
      <c r="M13" s="22"/>
      <c r="N13" s="23"/>
      <c r="O13" s="24"/>
      <c r="P13" s="62"/>
      <c r="Q13" s="23"/>
      <c r="R13" s="24"/>
    </row>
    <row r="14" spans="1:18" s="1" customFormat="1" ht="21.75" customHeight="1">
      <c r="A14" s="110"/>
      <c r="B14" s="111"/>
      <c r="C14" s="110"/>
      <c r="D14" s="119"/>
      <c r="E14" s="120" t="s">
        <v>49</v>
      </c>
      <c r="F14" s="121"/>
      <c r="G14" s="19"/>
      <c r="H14" s="20"/>
      <c r="I14" s="21"/>
      <c r="J14" s="62"/>
      <c r="K14" s="23"/>
      <c r="L14" s="79"/>
      <c r="M14" s="22"/>
      <c r="N14" s="23"/>
      <c r="O14" s="24"/>
      <c r="P14" s="62"/>
      <c r="Q14" s="23"/>
      <c r="R14" s="24"/>
    </row>
    <row r="15" spans="1:18" s="1" customFormat="1" ht="21.75" customHeight="1">
      <c r="A15" s="110"/>
      <c r="B15" s="116"/>
      <c r="C15" s="110"/>
      <c r="D15" s="122" t="s">
        <v>9</v>
      </c>
      <c r="E15" s="123"/>
      <c r="F15" s="123"/>
      <c r="G15" s="16">
        <f>G16+G17</f>
        <v>0</v>
      </c>
      <c r="H15" s="17">
        <f t="shared" ref="H15:I15" si="0">H16+H17</f>
        <v>0</v>
      </c>
      <c r="I15" s="18">
        <f t="shared" si="0"/>
        <v>0</v>
      </c>
      <c r="J15" s="35"/>
      <c r="K15" s="20"/>
      <c r="L15" s="78"/>
      <c r="M15" s="19"/>
      <c r="N15" s="20"/>
      <c r="O15" s="21"/>
      <c r="P15" s="35"/>
      <c r="Q15" s="20"/>
      <c r="R15" s="21"/>
    </row>
    <row r="16" spans="1:18" s="1" customFormat="1" ht="21.75" customHeight="1">
      <c r="A16" s="110"/>
      <c r="B16" s="116"/>
      <c r="C16" s="110"/>
      <c r="D16" s="118"/>
      <c r="E16" s="120" t="s">
        <v>48</v>
      </c>
      <c r="F16" s="121"/>
      <c r="G16" s="19"/>
      <c r="H16" s="20"/>
      <c r="I16" s="21"/>
      <c r="J16" s="62"/>
      <c r="K16" s="23"/>
      <c r="L16" s="79"/>
      <c r="M16" s="22"/>
      <c r="N16" s="23"/>
      <c r="O16" s="24"/>
      <c r="P16" s="62"/>
      <c r="Q16" s="23"/>
      <c r="R16" s="24"/>
    </row>
    <row r="17" spans="1:18" s="1" customFormat="1" ht="21.75" customHeight="1">
      <c r="A17" s="110"/>
      <c r="B17" s="116"/>
      <c r="C17" s="111"/>
      <c r="D17" s="119"/>
      <c r="E17" s="120" t="s">
        <v>49</v>
      </c>
      <c r="F17" s="121"/>
      <c r="G17" s="19"/>
      <c r="H17" s="20"/>
      <c r="I17" s="21"/>
      <c r="J17" s="62"/>
      <c r="K17" s="23"/>
      <c r="L17" s="79"/>
      <c r="M17" s="22"/>
      <c r="N17" s="23"/>
      <c r="O17" s="24"/>
      <c r="P17" s="62"/>
      <c r="Q17" s="23"/>
      <c r="R17" s="24"/>
    </row>
    <row r="18" spans="1:18" s="1" customFormat="1" ht="21.75" customHeight="1">
      <c r="A18" s="110"/>
      <c r="B18" s="116"/>
      <c r="C18" s="109" t="s">
        <v>10</v>
      </c>
      <c r="D18" s="103" t="s">
        <v>11</v>
      </c>
      <c r="E18" s="104"/>
      <c r="F18" s="104"/>
      <c r="G18" s="19"/>
      <c r="H18" s="20"/>
      <c r="I18" s="21"/>
      <c r="J18" s="35"/>
      <c r="K18" s="20"/>
      <c r="L18" s="78"/>
      <c r="M18" s="19"/>
      <c r="N18" s="20"/>
      <c r="O18" s="21"/>
      <c r="P18" s="35"/>
      <c r="Q18" s="20"/>
      <c r="R18" s="21"/>
    </row>
    <row r="19" spans="1:18" s="1" customFormat="1" ht="21.75" customHeight="1">
      <c r="A19" s="110"/>
      <c r="B19" s="116"/>
      <c r="C19" s="111" t="s">
        <v>10</v>
      </c>
      <c r="D19" s="103" t="s">
        <v>12</v>
      </c>
      <c r="E19" s="104"/>
      <c r="F19" s="104"/>
      <c r="G19" s="19"/>
      <c r="H19" s="20"/>
      <c r="I19" s="21"/>
      <c r="J19" s="35"/>
      <c r="K19" s="20"/>
      <c r="L19" s="78"/>
      <c r="M19" s="19"/>
      <c r="N19" s="20"/>
      <c r="O19" s="21"/>
      <c r="P19" s="35"/>
      <c r="Q19" s="20"/>
      <c r="R19" s="21"/>
    </row>
    <row r="20" spans="1:18" s="1" customFormat="1" ht="21.75" customHeight="1">
      <c r="A20" s="110"/>
      <c r="B20" s="116"/>
      <c r="C20" s="103" t="s">
        <v>13</v>
      </c>
      <c r="D20" s="104"/>
      <c r="E20" s="104"/>
      <c r="F20" s="104"/>
      <c r="G20" s="19"/>
      <c r="H20" s="20"/>
      <c r="I20" s="21"/>
      <c r="J20" s="35"/>
      <c r="K20" s="20"/>
      <c r="L20" s="78"/>
      <c r="M20" s="19"/>
      <c r="N20" s="20"/>
      <c r="O20" s="21"/>
      <c r="P20" s="35"/>
      <c r="Q20" s="20"/>
      <c r="R20" s="21"/>
    </row>
    <row r="21" spans="1:18" s="1" customFormat="1" ht="21.75" customHeight="1">
      <c r="A21" s="110"/>
      <c r="B21" s="116"/>
      <c r="C21" s="103" t="s">
        <v>14</v>
      </c>
      <c r="D21" s="104"/>
      <c r="E21" s="104"/>
      <c r="F21" s="104"/>
      <c r="G21" s="19"/>
      <c r="H21" s="20"/>
      <c r="I21" s="21"/>
      <c r="J21" s="35"/>
      <c r="K21" s="20"/>
      <c r="L21" s="78"/>
      <c r="M21" s="19"/>
      <c r="N21" s="20"/>
      <c r="O21" s="21"/>
      <c r="P21" s="35"/>
      <c r="Q21" s="20"/>
      <c r="R21" s="21"/>
    </row>
    <row r="22" spans="1:18" s="1" customFormat="1" ht="21.75" customHeight="1">
      <c r="A22" s="110"/>
      <c r="B22" s="116"/>
      <c r="C22" s="103" t="s">
        <v>15</v>
      </c>
      <c r="D22" s="104"/>
      <c r="E22" s="104" t="s">
        <v>15</v>
      </c>
      <c r="F22" s="104"/>
      <c r="G22" s="19"/>
      <c r="H22" s="20"/>
      <c r="I22" s="21"/>
      <c r="J22" s="35"/>
      <c r="K22" s="20"/>
      <c r="L22" s="78"/>
      <c r="M22" s="19"/>
      <c r="N22" s="20"/>
      <c r="O22" s="21"/>
      <c r="P22" s="35"/>
      <c r="Q22" s="20"/>
      <c r="R22" s="21"/>
    </row>
    <row r="23" spans="1:18" s="1" customFormat="1" ht="21.75" customHeight="1">
      <c r="A23" s="110"/>
      <c r="B23" s="53" t="s">
        <v>2</v>
      </c>
      <c r="C23" s="103" t="s">
        <v>16</v>
      </c>
      <c r="D23" s="104"/>
      <c r="E23" s="104"/>
      <c r="F23" s="104"/>
      <c r="G23" s="80"/>
      <c r="H23" s="81"/>
      <c r="I23" s="38"/>
      <c r="J23" s="37"/>
      <c r="K23" s="81"/>
      <c r="L23" s="82"/>
      <c r="M23" s="80"/>
      <c r="N23" s="81"/>
      <c r="O23" s="38"/>
      <c r="P23" s="37"/>
      <c r="Q23" s="81"/>
      <c r="R23" s="38"/>
    </row>
    <row r="24" spans="1:18" s="1" customFormat="1" ht="21.75" customHeight="1">
      <c r="A24" s="111"/>
      <c r="B24" s="93" t="s">
        <v>17</v>
      </c>
      <c r="C24" s="94"/>
      <c r="D24" s="94"/>
      <c r="E24" s="94"/>
      <c r="F24" s="94"/>
      <c r="G24" s="71">
        <f>SUM(G12,G15,G18,G19,G20,G21,G22,G23)</f>
        <v>0</v>
      </c>
      <c r="H24" s="58">
        <f t="shared" ref="H24:R24" si="1">SUM(H12,H15,H18,H19,H20,H21,H22,H23)</f>
        <v>0</v>
      </c>
      <c r="I24" s="83">
        <f>SUM(I12,I15,I18,I19,I20,I21,I22,I23)</f>
        <v>0</v>
      </c>
      <c r="J24" s="66">
        <f>SUM(J12,J15,J18,J19,J20,J21,J22,J23)</f>
        <v>0</v>
      </c>
      <c r="K24" s="58">
        <f t="shared" si="1"/>
        <v>0</v>
      </c>
      <c r="L24" s="84">
        <f t="shared" si="1"/>
        <v>0</v>
      </c>
      <c r="M24" s="71">
        <f t="shared" si="1"/>
        <v>0</v>
      </c>
      <c r="N24" s="58">
        <f t="shared" si="1"/>
        <v>0</v>
      </c>
      <c r="O24" s="83">
        <f t="shared" si="1"/>
        <v>0</v>
      </c>
      <c r="P24" s="66">
        <f t="shared" si="1"/>
        <v>0</v>
      </c>
      <c r="Q24" s="58">
        <f t="shared" si="1"/>
        <v>0</v>
      </c>
      <c r="R24" s="58">
        <f t="shared" si="1"/>
        <v>0</v>
      </c>
    </row>
    <row r="25" spans="1:18" s="1" customFormat="1" ht="21.75" customHeight="1">
      <c r="A25" s="109" t="s">
        <v>18</v>
      </c>
      <c r="B25" s="105" t="s">
        <v>1</v>
      </c>
      <c r="C25" s="103" t="s">
        <v>0</v>
      </c>
      <c r="D25" s="104"/>
      <c r="E25" s="104"/>
      <c r="F25" s="104"/>
      <c r="G25" s="85"/>
      <c r="H25" s="40"/>
      <c r="I25" s="34"/>
      <c r="J25" s="33"/>
      <c r="K25" s="40"/>
      <c r="L25" s="86"/>
      <c r="M25" s="85"/>
      <c r="N25" s="40"/>
      <c r="O25" s="34"/>
      <c r="P25" s="33"/>
      <c r="Q25" s="40"/>
      <c r="R25" s="34"/>
    </row>
    <row r="26" spans="1:18" s="1" customFormat="1" ht="21.75" customHeight="1">
      <c r="A26" s="110"/>
      <c r="B26" s="130"/>
      <c r="C26" s="103" t="s">
        <v>21</v>
      </c>
      <c r="D26" s="104"/>
      <c r="E26" s="104"/>
      <c r="F26" s="104"/>
      <c r="G26" s="19"/>
      <c r="H26" s="20"/>
      <c r="I26" s="21"/>
      <c r="J26" s="35"/>
      <c r="K26" s="20"/>
      <c r="L26" s="78"/>
      <c r="M26" s="19"/>
      <c r="N26" s="20"/>
      <c r="O26" s="21"/>
      <c r="P26" s="35"/>
      <c r="Q26" s="20"/>
      <c r="R26" s="21"/>
    </row>
    <row r="27" spans="1:18" s="1" customFormat="1" ht="21.75" customHeight="1">
      <c r="A27" s="110"/>
      <c r="B27" s="130"/>
      <c r="C27" s="105" t="s">
        <v>22</v>
      </c>
      <c r="D27" s="104"/>
      <c r="E27" s="104"/>
      <c r="F27" s="104"/>
      <c r="G27" s="19"/>
      <c r="H27" s="62"/>
      <c r="I27" s="62"/>
      <c r="J27" s="35"/>
      <c r="K27" s="62"/>
      <c r="L27" s="87"/>
      <c r="M27" s="19"/>
      <c r="N27" s="62"/>
      <c r="O27" s="88"/>
      <c r="P27" s="35"/>
      <c r="Q27" s="62"/>
      <c r="R27" s="62"/>
    </row>
    <row r="28" spans="1:18" s="1" customFormat="1" ht="21.75" customHeight="1">
      <c r="A28" s="110"/>
      <c r="B28" s="130"/>
      <c r="C28" s="146" t="s">
        <v>87</v>
      </c>
      <c r="D28" s="133" t="s">
        <v>24</v>
      </c>
      <c r="E28" s="133"/>
      <c r="F28" s="133"/>
      <c r="G28" s="25"/>
      <c r="H28" s="20"/>
      <c r="I28" s="21"/>
      <c r="J28" s="63"/>
      <c r="K28" s="20"/>
      <c r="L28" s="78"/>
      <c r="M28" s="25"/>
      <c r="N28" s="20"/>
      <c r="O28" s="21"/>
      <c r="P28" s="63"/>
      <c r="Q28" s="20"/>
      <c r="R28" s="21"/>
    </row>
    <row r="29" spans="1:18" s="1" customFormat="1" ht="21.75" customHeight="1">
      <c r="A29" s="110"/>
      <c r="B29" s="130"/>
      <c r="C29" s="147"/>
      <c r="D29" s="133" t="s">
        <v>25</v>
      </c>
      <c r="E29" s="134"/>
      <c r="F29" s="134"/>
      <c r="G29" s="26">
        <f>SUM(G30:G32)</f>
        <v>0</v>
      </c>
      <c r="H29" s="27">
        <f t="shared" ref="H29:R29" si="2">SUM(H30:H32)</f>
        <v>0</v>
      </c>
      <c r="I29" s="28">
        <f t="shared" si="2"/>
        <v>0</v>
      </c>
      <c r="J29" s="27">
        <f t="shared" si="2"/>
        <v>0</v>
      </c>
      <c r="K29" s="27">
        <f t="shared" si="2"/>
        <v>0</v>
      </c>
      <c r="L29" s="59">
        <f t="shared" si="2"/>
        <v>0</v>
      </c>
      <c r="M29" s="26">
        <f t="shared" si="2"/>
        <v>0</v>
      </c>
      <c r="N29" s="27">
        <f t="shared" si="2"/>
        <v>0</v>
      </c>
      <c r="O29" s="28">
        <f t="shared" si="2"/>
        <v>0</v>
      </c>
      <c r="P29" s="27">
        <f t="shared" si="2"/>
        <v>0</v>
      </c>
      <c r="Q29" s="27">
        <f t="shared" si="2"/>
        <v>0</v>
      </c>
      <c r="R29" s="28">
        <f t="shared" si="2"/>
        <v>0</v>
      </c>
    </row>
    <row r="30" spans="1:18" s="1" customFormat="1" ht="21.75" customHeight="1">
      <c r="A30" s="110"/>
      <c r="B30" s="130"/>
      <c r="C30" s="147"/>
      <c r="D30" s="89"/>
      <c r="E30" s="131" t="s">
        <v>26</v>
      </c>
      <c r="F30" s="132"/>
      <c r="G30" s="29"/>
      <c r="H30" s="30"/>
      <c r="I30" s="31"/>
      <c r="J30" s="64"/>
      <c r="K30" s="30"/>
      <c r="L30" s="31"/>
      <c r="M30" s="29"/>
      <c r="N30" s="30"/>
      <c r="O30" s="31"/>
      <c r="P30" s="29"/>
      <c r="Q30" s="30"/>
      <c r="R30" s="31"/>
    </row>
    <row r="31" spans="1:18" s="1" customFormat="1" ht="21.75" customHeight="1">
      <c r="A31" s="110"/>
      <c r="B31" s="130"/>
      <c r="C31" s="147"/>
      <c r="D31" s="89"/>
      <c r="E31" s="131" t="s">
        <v>27</v>
      </c>
      <c r="F31" s="132"/>
      <c r="G31" s="29"/>
      <c r="H31" s="30"/>
      <c r="I31" s="31"/>
      <c r="J31" s="64"/>
      <c r="K31" s="30"/>
      <c r="L31" s="31"/>
      <c r="M31" s="29"/>
      <c r="N31" s="30"/>
      <c r="O31" s="31"/>
      <c r="P31" s="29"/>
      <c r="Q31" s="30"/>
      <c r="R31" s="31"/>
    </row>
    <row r="32" spans="1:18" s="1" customFormat="1" ht="21.75" customHeight="1">
      <c r="A32" s="110"/>
      <c r="B32" s="130"/>
      <c r="C32" s="147"/>
      <c r="D32" s="89"/>
      <c r="E32" s="131" t="s">
        <v>28</v>
      </c>
      <c r="F32" s="132"/>
      <c r="G32" s="29"/>
      <c r="H32" s="30"/>
      <c r="I32" s="31"/>
      <c r="J32" s="64"/>
      <c r="K32" s="30"/>
      <c r="L32" s="31"/>
      <c r="M32" s="29"/>
      <c r="N32" s="30"/>
      <c r="O32" s="31"/>
      <c r="P32" s="29"/>
      <c r="Q32" s="30"/>
      <c r="R32" s="31"/>
    </row>
    <row r="33" spans="1:18" s="1" customFormat="1" ht="21.75" customHeight="1">
      <c r="A33" s="110"/>
      <c r="B33" s="130"/>
      <c r="C33" s="147"/>
      <c r="D33" s="133" t="s">
        <v>29</v>
      </c>
      <c r="E33" s="135"/>
      <c r="F33" s="135"/>
      <c r="G33" s="26">
        <f>SUM(G34:G36)</f>
        <v>0</v>
      </c>
      <c r="H33" s="27">
        <f t="shared" ref="H33:R33" si="3">SUM(H34:H36)</f>
        <v>0</v>
      </c>
      <c r="I33" s="28">
        <f t="shared" si="3"/>
        <v>0</v>
      </c>
      <c r="J33" s="27">
        <f t="shared" si="3"/>
        <v>0</v>
      </c>
      <c r="K33" s="27">
        <f t="shared" si="3"/>
        <v>0</v>
      </c>
      <c r="L33" s="28">
        <f t="shared" si="3"/>
        <v>0</v>
      </c>
      <c r="M33" s="26">
        <f t="shared" si="3"/>
        <v>0</v>
      </c>
      <c r="N33" s="27">
        <f t="shared" si="3"/>
        <v>0</v>
      </c>
      <c r="O33" s="28">
        <f t="shared" si="3"/>
        <v>0</v>
      </c>
      <c r="P33" s="26">
        <f t="shared" si="3"/>
        <v>0</v>
      </c>
      <c r="Q33" s="27">
        <f t="shared" si="3"/>
        <v>0</v>
      </c>
      <c r="R33" s="28">
        <f t="shared" si="3"/>
        <v>0</v>
      </c>
    </row>
    <row r="34" spans="1:18" s="1" customFormat="1" ht="21.75" customHeight="1">
      <c r="A34" s="110"/>
      <c r="B34" s="130"/>
      <c r="C34" s="147"/>
      <c r="D34" s="89"/>
      <c r="E34" s="131" t="s">
        <v>26</v>
      </c>
      <c r="F34" s="132"/>
      <c r="G34" s="29"/>
      <c r="H34" s="30"/>
      <c r="I34" s="31"/>
      <c r="J34" s="64"/>
      <c r="K34" s="30"/>
      <c r="L34" s="31"/>
      <c r="M34" s="29"/>
      <c r="N34" s="30"/>
      <c r="O34" s="31"/>
      <c r="P34" s="29"/>
      <c r="Q34" s="30"/>
      <c r="R34" s="31"/>
    </row>
    <row r="35" spans="1:18" s="1" customFormat="1" ht="21.75" customHeight="1">
      <c r="A35" s="110"/>
      <c r="B35" s="130"/>
      <c r="C35" s="147"/>
      <c r="D35" s="89"/>
      <c r="E35" s="131" t="s">
        <v>27</v>
      </c>
      <c r="F35" s="132"/>
      <c r="G35" s="29"/>
      <c r="H35" s="30"/>
      <c r="I35" s="31"/>
      <c r="J35" s="64"/>
      <c r="K35" s="30"/>
      <c r="L35" s="31"/>
      <c r="M35" s="29"/>
      <c r="N35" s="30"/>
      <c r="O35" s="31"/>
      <c r="P35" s="29"/>
      <c r="Q35" s="30"/>
      <c r="R35" s="31"/>
    </row>
    <row r="36" spans="1:18" s="1" customFormat="1" ht="21.75" customHeight="1">
      <c r="A36" s="110"/>
      <c r="B36" s="130"/>
      <c r="C36" s="147"/>
      <c r="D36" s="90"/>
      <c r="E36" s="131" t="s">
        <v>28</v>
      </c>
      <c r="F36" s="132"/>
      <c r="G36" s="29"/>
      <c r="H36" s="30"/>
      <c r="I36" s="31"/>
      <c r="J36" s="64"/>
      <c r="K36" s="30"/>
      <c r="L36" s="31"/>
      <c r="M36" s="29"/>
      <c r="N36" s="30"/>
      <c r="O36" s="31"/>
      <c r="P36" s="29"/>
      <c r="Q36" s="30"/>
      <c r="R36" s="31"/>
    </row>
    <row r="37" spans="1:18" s="1" customFormat="1" ht="21.75" customHeight="1">
      <c r="A37" s="110"/>
      <c r="B37" s="130"/>
      <c r="C37" s="148"/>
      <c r="D37" s="91" t="s">
        <v>30</v>
      </c>
      <c r="E37" s="92"/>
      <c r="F37" s="92"/>
      <c r="G37" s="32"/>
      <c r="H37" s="62"/>
      <c r="I37" s="62"/>
      <c r="J37" s="65"/>
      <c r="K37" s="62"/>
      <c r="L37" s="87"/>
      <c r="M37" s="32"/>
      <c r="N37" s="62"/>
      <c r="O37" s="88"/>
      <c r="P37" s="65"/>
      <c r="Q37" s="62"/>
      <c r="R37" s="62"/>
    </row>
    <row r="38" spans="1:18" s="1" customFormat="1" ht="21.75" customHeight="1">
      <c r="A38" s="110"/>
      <c r="B38" s="130"/>
      <c r="C38" s="138" t="s">
        <v>88</v>
      </c>
      <c r="D38" s="139" t="s">
        <v>24</v>
      </c>
      <c r="E38" s="139"/>
      <c r="F38" s="139"/>
      <c r="G38" s="25"/>
      <c r="H38" s="20"/>
      <c r="I38" s="21"/>
      <c r="J38" s="63"/>
      <c r="K38" s="20"/>
      <c r="L38" s="21"/>
      <c r="M38" s="25"/>
      <c r="N38" s="20"/>
      <c r="O38" s="21"/>
      <c r="P38" s="25"/>
      <c r="Q38" s="20"/>
      <c r="R38" s="21"/>
    </row>
    <row r="39" spans="1:18" s="1" customFormat="1" ht="21.75" customHeight="1">
      <c r="A39" s="110"/>
      <c r="B39" s="130"/>
      <c r="C39" s="138"/>
      <c r="D39" s="139" t="s">
        <v>25</v>
      </c>
      <c r="E39" s="140"/>
      <c r="F39" s="140"/>
      <c r="G39" s="26">
        <f>SUM(G40:G42)</f>
        <v>0</v>
      </c>
      <c r="H39" s="27">
        <f t="shared" ref="H39:I39" si="4">SUM(H40:H42)</f>
        <v>0</v>
      </c>
      <c r="I39" s="28">
        <f t="shared" si="4"/>
        <v>0</v>
      </c>
      <c r="J39" s="27">
        <f>SUM(J40:J42)</f>
        <v>0</v>
      </c>
      <c r="K39" s="27">
        <f t="shared" ref="K39:L39" si="5">SUM(K40:K42)</f>
        <v>0</v>
      </c>
      <c r="L39" s="28">
        <f t="shared" si="5"/>
        <v>0</v>
      </c>
      <c r="M39" s="26">
        <f>SUM(M40:M42)</f>
        <v>0</v>
      </c>
      <c r="N39" s="27">
        <f t="shared" ref="N39:O39" si="6">SUM(N40:N42)</f>
        <v>0</v>
      </c>
      <c r="O39" s="28">
        <f t="shared" si="6"/>
        <v>0</v>
      </c>
      <c r="P39" s="26">
        <f>SUM(P40:P42)</f>
        <v>0</v>
      </c>
      <c r="Q39" s="27">
        <f t="shared" ref="Q39:R39" si="7">SUM(Q40:Q42)</f>
        <v>0</v>
      </c>
      <c r="R39" s="28">
        <f t="shared" si="7"/>
        <v>0</v>
      </c>
    </row>
    <row r="40" spans="1:18" s="1" customFormat="1" ht="21.75" customHeight="1">
      <c r="A40" s="110"/>
      <c r="B40" s="130"/>
      <c r="C40" s="138"/>
      <c r="D40" s="141"/>
      <c r="E40" s="142" t="s">
        <v>26</v>
      </c>
      <c r="F40" s="143"/>
      <c r="G40" s="29"/>
      <c r="H40" s="30"/>
      <c r="I40" s="31"/>
      <c r="J40" s="64"/>
      <c r="K40" s="30"/>
      <c r="L40" s="31"/>
      <c r="M40" s="29"/>
      <c r="N40" s="30"/>
      <c r="O40" s="31"/>
      <c r="P40" s="29"/>
      <c r="Q40" s="30"/>
      <c r="R40" s="31"/>
    </row>
    <row r="41" spans="1:18" s="1" customFormat="1" ht="21.75" customHeight="1">
      <c r="A41" s="110"/>
      <c r="B41" s="130"/>
      <c r="C41" s="138"/>
      <c r="D41" s="141"/>
      <c r="E41" s="142" t="s">
        <v>27</v>
      </c>
      <c r="F41" s="143"/>
      <c r="G41" s="29"/>
      <c r="H41" s="30"/>
      <c r="I41" s="31"/>
      <c r="J41" s="64"/>
      <c r="K41" s="30"/>
      <c r="L41" s="31"/>
      <c r="M41" s="29"/>
      <c r="N41" s="30"/>
      <c r="O41" s="31"/>
      <c r="P41" s="29"/>
      <c r="Q41" s="30"/>
      <c r="R41" s="31"/>
    </row>
    <row r="42" spans="1:18" s="1" customFormat="1" ht="21.75" customHeight="1">
      <c r="A42" s="110"/>
      <c r="B42" s="130"/>
      <c r="C42" s="138"/>
      <c r="D42" s="141"/>
      <c r="E42" s="142" t="s">
        <v>28</v>
      </c>
      <c r="F42" s="143"/>
      <c r="G42" s="29"/>
      <c r="H42" s="30"/>
      <c r="I42" s="31"/>
      <c r="J42" s="64"/>
      <c r="K42" s="30"/>
      <c r="L42" s="31"/>
      <c r="M42" s="29"/>
      <c r="N42" s="30"/>
      <c r="O42" s="31"/>
      <c r="P42" s="29"/>
      <c r="Q42" s="30"/>
      <c r="R42" s="31"/>
    </row>
    <row r="43" spans="1:18" s="1" customFormat="1" ht="21.75" customHeight="1">
      <c r="A43" s="110"/>
      <c r="B43" s="130"/>
      <c r="C43" s="138"/>
      <c r="D43" s="139" t="s">
        <v>29</v>
      </c>
      <c r="E43" s="144"/>
      <c r="F43" s="144"/>
      <c r="G43" s="26">
        <f>SUM(G44:G46)</f>
        <v>0</v>
      </c>
      <c r="H43" s="27">
        <f t="shared" ref="H43:I43" si="8">SUM(H44:H46)</f>
        <v>0</v>
      </c>
      <c r="I43" s="28">
        <f t="shared" si="8"/>
        <v>0</v>
      </c>
      <c r="J43" s="27">
        <f>SUM(J44:J46)</f>
        <v>0</v>
      </c>
      <c r="K43" s="27">
        <f>SUM(K44:K46)</f>
        <v>0</v>
      </c>
      <c r="L43" s="28">
        <f>SUM(L44:L46)</f>
        <v>0</v>
      </c>
      <c r="M43" s="26">
        <f>SUM(M44:M46)</f>
        <v>0</v>
      </c>
      <c r="N43" s="27">
        <f t="shared" ref="N43:O43" si="9">SUM(N44:N46)</f>
        <v>0</v>
      </c>
      <c r="O43" s="28">
        <f t="shared" si="9"/>
        <v>0</v>
      </c>
      <c r="P43" s="26">
        <f>SUM(P44:P46)</f>
        <v>0</v>
      </c>
      <c r="Q43" s="27">
        <f t="shared" ref="Q43" si="10">SUM(Q44:Q46)</f>
        <v>0</v>
      </c>
      <c r="R43" s="28">
        <f>SUM(R44:R46)</f>
        <v>0</v>
      </c>
    </row>
    <row r="44" spans="1:18" s="1" customFormat="1" ht="21.75" customHeight="1">
      <c r="A44" s="110"/>
      <c r="B44" s="130"/>
      <c r="C44" s="138"/>
      <c r="D44" s="141"/>
      <c r="E44" s="142" t="s">
        <v>26</v>
      </c>
      <c r="F44" s="143"/>
      <c r="G44" s="29"/>
      <c r="H44" s="30"/>
      <c r="I44" s="31"/>
      <c r="J44" s="64"/>
      <c r="K44" s="30"/>
      <c r="L44" s="31"/>
      <c r="M44" s="29"/>
      <c r="N44" s="30"/>
      <c r="O44" s="31"/>
      <c r="P44" s="29"/>
      <c r="Q44" s="30"/>
      <c r="R44" s="31"/>
    </row>
    <row r="45" spans="1:18" s="1" customFormat="1" ht="21.75" customHeight="1">
      <c r="A45" s="110"/>
      <c r="B45" s="130"/>
      <c r="C45" s="138"/>
      <c r="D45" s="141"/>
      <c r="E45" s="142" t="s">
        <v>27</v>
      </c>
      <c r="F45" s="143"/>
      <c r="G45" s="29"/>
      <c r="H45" s="30"/>
      <c r="I45" s="31"/>
      <c r="J45" s="64"/>
      <c r="K45" s="30"/>
      <c r="L45" s="31"/>
      <c r="M45" s="29"/>
      <c r="N45" s="30"/>
      <c r="O45" s="31"/>
      <c r="P45" s="29"/>
      <c r="Q45" s="30"/>
      <c r="R45" s="31"/>
    </row>
    <row r="46" spans="1:18" s="1" customFormat="1" ht="21.75" customHeight="1">
      <c r="A46" s="110"/>
      <c r="B46" s="93"/>
      <c r="C46" s="138"/>
      <c r="D46" s="145"/>
      <c r="E46" s="142" t="s">
        <v>28</v>
      </c>
      <c r="F46" s="143"/>
      <c r="G46" s="29"/>
      <c r="H46" s="30"/>
      <c r="I46" s="31"/>
      <c r="J46" s="64"/>
      <c r="K46" s="30"/>
      <c r="L46" s="31"/>
      <c r="M46" s="29"/>
      <c r="N46" s="30"/>
      <c r="O46" s="31"/>
      <c r="P46" s="29"/>
      <c r="Q46" s="30"/>
      <c r="R46" s="31"/>
    </row>
    <row r="47" spans="1:18" s="1" customFormat="1" ht="21.75" customHeight="1">
      <c r="A47" s="110"/>
      <c r="B47" s="103" t="s">
        <v>31</v>
      </c>
      <c r="C47" s="94"/>
      <c r="D47" s="104"/>
      <c r="E47" s="104"/>
      <c r="F47" s="104"/>
      <c r="G47" s="71">
        <f>G25+G26+G28+G29+G33+G38+G39+G43</f>
        <v>0</v>
      </c>
      <c r="H47" s="58">
        <f t="shared" ref="H47:Q47" si="11">H25+H26+H28+H29+H33+H38+H39+H43</f>
        <v>0</v>
      </c>
      <c r="I47" s="28">
        <f t="shared" si="11"/>
        <v>0</v>
      </c>
      <c r="J47" s="66">
        <f t="shared" si="11"/>
        <v>0</v>
      </c>
      <c r="K47" s="58">
        <f>K25+K26+K28+K29+K33+K38+K39+K43</f>
        <v>0</v>
      </c>
      <c r="L47" s="27">
        <f t="shared" si="11"/>
        <v>0</v>
      </c>
      <c r="M47" s="60">
        <f t="shared" si="11"/>
        <v>0</v>
      </c>
      <c r="N47" s="58">
        <f t="shared" si="11"/>
        <v>0</v>
      </c>
      <c r="O47" s="27">
        <f t="shared" si="11"/>
        <v>0</v>
      </c>
      <c r="P47" s="60">
        <f t="shared" si="11"/>
        <v>0</v>
      </c>
      <c r="Q47" s="58">
        <f t="shared" si="11"/>
        <v>0</v>
      </c>
      <c r="R47" s="27">
        <f>R25+R26+R28+R29+R33+R38+R39+R43</f>
        <v>0</v>
      </c>
    </row>
    <row r="48" spans="1:18" s="1" customFormat="1" ht="21.75" customHeight="1">
      <c r="A48" s="110"/>
      <c r="B48" s="109" t="s">
        <v>1</v>
      </c>
      <c r="C48" s="109" t="s">
        <v>32</v>
      </c>
      <c r="D48" s="112" t="s">
        <v>33</v>
      </c>
      <c r="E48" s="107"/>
      <c r="F48" s="107"/>
      <c r="G48" s="56">
        <f>SUM(G49:G51)</f>
        <v>0</v>
      </c>
      <c r="H48" s="57">
        <f t="shared" ref="H48:R48" si="12">SUM(H49:H51)</f>
        <v>0</v>
      </c>
      <c r="I48" s="28">
        <f t="shared" si="12"/>
        <v>0</v>
      </c>
      <c r="J48" s="57">
        <f t="shared" si="12"/>
        <v>0</v>
      </c>
      <c r="K48" s="57">
        <f t="shared" si="12"/>
        <v>0</v>
      </c>
      <c r="L48" s="28">
        <f t="shared" si="12"/>
        <v>0</v>
      </c>
      <c r="M48" s="26">
        <f t="shared" si="12"/>
        <v>0</v>
      </c>
      <c r="N48" s="57">
        <f t="shared" si="12"/>
        <v>0</v>
      </c>
      <c r="O48" s="28">
        <f t="shared" si="12"/>
        <v>0</v>
      </c>
      <c r="P48" s="26">
        <f t="shared" si="12"/>
        <v>0</v>
      </c>
      <c r="Q48" s="57">
        <f t="shared" si="12"/>
        <v>0</v>
      </c>
      <c r="R48" s="28">
        <f t="shared" si="12"/>
        <v>0</v>
      </c>
    </row>
    <row r="49" spans="1:18" s="1" customFormat="1" ht="21.75" customHeight="1">
      <c r="A49" s="110"/>
      <c r="B49" s="110"/>
      <c r="C49" s="110"/>
      <c r="D49" s="9"/>
      <c r="E49" s="101" t="s">
        <v>34</v>
      </c>
      <c r="F49" s="102"/>
      <c r="G49" s="29"/>
      <c r="H49" s="35"/>
      <c r="I49" s="21"/>
      <c r="J49" s="64"/>
      <c r="K49" s="35"/>
      <c r="L49" s="21"/>
      <c r="M49" s="29"/>
      <c r="N49" s="35"/>
      <c r="O49" s="21"/>
      <c r="P49" s="29"/>
      <c r="Q49" s="35"/>
      <c r="R49" s="21"/>
    </row>
    <row r="50" spans="1:18" s="1" customFormat="1" ht="21.75" customHeight="1">
      <c r="A50" s="110"/>
      <c r="B50" s="110"/>
      <c r="C50" s="110"/>
      <c r="D50" s="9"/>
      <c r="E50" s="101" t="s">
        <v>35</v>
      </c>
      <c r="F50" s="102"/>
      <c r="G50" s="29"/>
      <c r="H50" s="35"/>
      <c r="I50" s="21"/>
      <c r="J50" s="64"/>
      <c r="K50" s="35"/>
      <c r="L50" s="21"/>
      <c r="M50" s="29"/>
      <c r="N50" s="35"/>
      <c r="O50" s="21"/>
      <c r="P50" s="29"/>
      <c r="Q50" s="35"/>
      <c r="R50" s="21"/>
    </row>
    <row r="51" spans="1:18" s="1" customFormat="1" ht="21.75" customHeight="1">
      <c r="A51" s="110"/>
      <c r="B51" s="110"/>
      <c r="C51" s="110"/>
      <c r="D51" s="9"/>
      <c r="E51" s="101" t="s">
        <v>28</v>
      </c>
      <c r="F51" s="102"/>
      <c r="G51" s="29"/>
      <c r="H51" s="35"/>
      <c r="I51" s="21"/>
      <c r="J51" s="64"/>
      <c r="K51" s="35"/>
      <c r="L51" s="21"/>
      <c r="M51" s="29"/>
      <c r="N51" s="35"/>
      <c r="O51" s="21"/>
      <c r="P51" s="29"/>
      <c r="Q51" s="35"/>
      <c r="R51" s="21"/>
    </row>
    <row r="52" spans="1:18" s="1" customFormat="1" ht="21.75" customHeight="1">
      <c r="A52" s="110"/>
      <c r="B52" s="110"/>
      <c r="C52" s="110"/>
      <c r="D52" s="106" t="s">
        <v>36</v>
      </c>
      <c r="E52" s="108" t="s">
        <v>36</v>
      </c>
      <c r="F52" s="108" t="s">
        <v>26</v>
      </c>
      <c r="G52" s="26">
        <f>SUM(G53:G55)</f>
        <v>0</v>
      </c>
      <c r="H52" s="27">
        <f t="shared" ref="H52:R52" si="13">SUM(H53:H55)</f>
        <v>0</v>
      </c>
      <c r="I52" s="28">
        <f t="shared" si="13"/>
        <v>0</v>
      </c>
      <c r="J52" s="27">
        <f t="shared" si="13"/>
        <v>0</v>
      </c>
      <c r="K52" s="27">
        <f t="shared" si="13"/>
        <v>0</v>
      </c>
      <c r="L52" s="28">
        <f t="shared" si="13"/>
        <v>0</v>
      </c>
      <c r="M52" s="26">
        <f t="shared" si="13"/>
        <v>0</v>
      </c>
      <c r="N52" s="27">
        <f t="shared" si="13"/>
        <v>0</v>
      </c>
      <c r="O52" s="28">
        <f t="shared" si="13"/>
        <v>0</v>
      </c>
      <c r="P52" s="26">
        <f t="shared" si="13"/>
        <v>0</v>
      </c>
      <c r="Q52" s="27">
        <f t="shared" si="13"/>
        <v>0</v>
      </c>
      <c r="R52" s="28">
        <f t="shared" si="13"/>
        <v>0</v>
      </c>
    </row>
    <row r="53" spans="1:18" s="1" customFormat="1" ht="21.75" customHeight="1">
      <c r="A53" s="110"/>
      <c r="B53" s="110"/>
      <c r="C53" s="110"/>
      <c r="D53" s="9"/>
      <c r="E53" s="101" t="s">
        <v>34</v>
      </c>
      <c r="F53" s="102"/>
      <c r="G53" s="29"/>
      <c r="H53" s="35"/>
      <c r="I53" s="21"/>
      <c r="J53" s="64"/>
      <c r="K53" s="35"/>
      <c r="L53" s="21"/>
      <c r="M53" s="29"/>
      <c r="N53" s="35"/>
      <c r="O53" s="21"/>
      <c r="P53" s="29"/>
      <c r="Q53" s="35"/>
      <c r="R53" s="21"/>
    </row>
    <row r="54" spans="1:18" s="1" customFormat="1" ht="21.75" customHeight="1">
      <c r="A54" s="110"/>
      <c r="B54" s="110"/>
      <c r="C54" s="110"/>
      <c r="D54" s="9"/>
      <c r="E54" s="101" t="s">
        <v>35</v>
      </c>
      <c r="F54" s="102"/>
      <c r="G54" s="29"/>
      <c r="H54" s="35"/>
      <c r="I54" s="21"/>
      <c r="J54" s="64"/>
      <c r="K54" s="35"/>
      <c r="L54" s="21"/>
      <c r="M54" s="29"/>
      <c r="N54" s="35"/>
      <c r="O54" s="21"/>
      <c r="P54" s="29"/>
      <c r="Q54" s="35"/>
      <c r="R54" s="21"/>
    </row>
    <row r="55" spans="1:18" s="1" customFormat="1" ht="21.75" customHeight="1">
      <c r="A55" s="110"/>
      <c r="B55" s="110"/>
      <c r="C55" s="110"/>
      <c r="D55" s="9"/>
      <c r="E55" s="126" t="s">
        <v>28</v>
      </c>
      <c r="F55" s="127"/>
      <c r="G55" s="36"/>
      <c r="H55" s="37"/>
      <c r="I55" s="38"/>
      <c r="J55" s="67"/>
      <c r="K55" s="37"/>
      <c r="L55" s="38"/>
      <c r="M55" s="36"/>
      <c r="N55" s="37"/>
      <c r="O55" s="38"/>
      <c r="P55" s="36"/>
      <c r="Q55" s="37"/>
      <c r="R55" s="38"/>
    </row>
    <row r="56" spans="1:18" s="1" customFormat="1" ht="21.75" customHeight="1">
      <c r="A56" s="110"/>
      <c r="B56" s="110"/>
      <c r="C56" s="118" t="s">
        <v>50</v>
      </c>
      <c r="D56" s="120" t="s">
        <v>51</v>
      </c>
      <c r="E56" s="121"/>
      <c r="F56" s="121"/>
      <c r="G56" s="25"/>
      <c r="H56" s="20"/>
      <c r="I56" s="21"/>
      <c r="J56" s="62"/>
      <c r="K56" s="23"/>
      <c r="L56" s="24"/>
      <c r="M56" s="25"/>
      <c r="N56" s="20"/>
      <c r="O56" s="21"/>
      <c r="P56" s="25"/>
      <c r="Q56" s="20"/>
      <c r="R56" s="21"/>
    </row>
    <row r="57" spans="1:18">
      <c r="A57" s="110"/>
      <c r="B57" s="110"/>
      <c r="C57" s="119"/>
      <c r="D57" s="120" t="s">
        <v>52</v>
      </c>
      <c r="E57" s="121"/>
      <c r="F57" s="121"/>
      <c r="G57" s="25"/>
      <c r="H57" s="20"/>
      <c r="I57" s="21"/>
      <c r="J57" s="62"/>
      <c r="K57" s="23"/>
      <c r="L57" s="24"/>
      <c r="M57" s="25"/>
      <c r="N57" s="20"/>
      <c r="O57" s="21"/>
      <c r="P57" s="25"/>
      <c r="Q57" s="20"/>
      <c r="R57" s="21"/>
    </row>
    <row r="58" spans="1:18">
      <c r="A58" s="110"/>
      <c r="B58" s="110"/>
      <c r="C58" s="128" t="s">
        <v>37</v>
      </c>
      <c r="D58" s="129"/>
      <c r="E58" s="129"/>
      <c r="F58" s="129"/>
      <c r="G58" s="39"/>
      <c r="H58" s="40"/>
      <c r="I58" s="34"/>
      <c r="J58" s="68"/>
      <c r="K58" s="40"/>
      <c r="L58" s="34"/>
      <c r="M58" s="39"/>
      <c r="N58" s="40"/>
      <c r="O58" s="34"/>
      <c r="P58" s="39"/>
      <c r="Q58" s="40"/>
      <c r="R58" s="34"/>
    </row>
    <row r="59" spans="1:18">
      <c r="A59" s="110"/>
      <c r="B59" s="111"/>
      <c r="C59" s="112" t="s">
        <v>15</v>
      </c>
      <c r="D59" s="106"/>
      <c r="E59" s="106"/>
      <c r="F59" s="106"/>
      <c r="G59" s="25"/>
      <c r="H59" s="20"/>
      <c r="I59" s="21"/>
      <c r="J59" s="63"/>
      <c r="K59" s="20"/>
      <c r="L59" s="21"/>
      <c r="M59" s="25"/>
      <c r="N59" s="20"/>
      <c r="O59" s="21"/>
      <c r="P59" s="25"/>
      <c r="Q59" s="20"/>
      <c r="R59" s="21"/>
    </row>
    <row r="60" spans="1:18">
      <c r="A60" s="110"/>
      <c r="B60" s="53" t="s">
        <v>2</v>
      </c>
      <c r="C60" s="112" t="s">
        <v>16</v>
      </c>
      <c r="D60" s="106"/>
      <c r="E60" s="106"/>
      <c r="F60" s="106"/>
      <c r="G60" s="25"/>
      <c r="H60" s="20"/>
      <c r="I60" s="21"/>
      <c r="J60" s="63"/>
      <c r="K60" s="20"/>
      <c r="L60" s="21"/>
      <c r="M60" s="25"/>
      <c r="N60" s="20"/>
      <c r="O60" s="21"/>
      <c r="P60" s="25"/>
      <c r="Q60" s="20"/>
      <c r="R60" s="21"/>
    </row>
    <row r="61" spans="1:18">
      <c r="A61" s="110"/>
      <c r="B61" s="103" t="s">
        <v>38</v>
      </c>
      <c r="C61" s="104"/>
      <c r="D61" s="104"/>
      <c r="E61" s="104"/>
      <c r="F61" s="104"/>
      <c r="G61" s="26">
        <f>G48+G52+G56+G57+G58+G59+G60</f>
        <v>0</v>
      </c>
      <c r="H61" s="27">
        <f t="shared" ref="H61:Q61" si="14">H48+H52+H56+H57+H58+H59+H60</f>
        <v>0</v>
      </c>
      <c r="I61" s="28">
        <f t="shared" si="14"/>
        <v>0</v>
      </c>
      <c r="J61" s="27">
        <f t="shared" si="14"/>
        <v>0</v>
      </c>
      <c r="K61" s="27">
        <f t="shared" si="14"/>
        <v>0</v>
      </c>
      <c r="L61" s="28">
        <f t="shared" si="14"/>
        <v>0</v>
      </c>
      <c r="M61" s="26">
        <f t="shared" si="14"/>
        <v>0</v>
      </c>
      <c r="N61" s="27">
        <f t="shared" si="14"/>
        <v>0</v>
      </c>
      <c r="O61" s="28">
        <f t="shared" si="14"/>
        <v>0</v>
      </c>
      <c r="P61" s="26">
        <f t="shared" si="14"/>
        <v>0</v>
      </c>
      <c r="Q61" s="27">
        <f t="shared" si="14"/>
        <v>0</v>
      </c>
      <c r="R61" s="28">
        <f>R48+R52+R56+R57+R58+R59+R60</f>
        <v>0</v>
      </c>
    </row>
    <row r="62" spans="1:18">
      <c r="A62" s="111"/>
      <c r="B62" s="103" t="s">
        <v>39</v>
      </c>
      <c r="C62" s="104"/>
      <c r="D62" s="104"/>
      <c r="E62" s="104"/>
      <c r="F62" s="104"/>
      <c r="G62" s="26">
        <f>G47+G61</f>
        <v>0</v>
      </c>
      <c r="H62" s="27">
        <f t="shared" ref="H62:R62" si="15">H47+H61</f>
        <v>0</v>
      </c>
      <c r="I62" s="28">
        <f t="shared" si="15"/>
        <v>0</v>
      </c>
      <c r="J62" s="27">
        <f t="shared" si="15"/>
        <v>0</v>
      </c>
      <c r="K62" s="27">
        <f t="shared" si="15"/>
        <v>0</v>
      </c>
      <c r="L62" s="28">
        <f t="shared" si="15"/>
        <v>0</v>
      </c>
      <c r="M62" s="26">
        <f t="shared" si="15"/>
        <v>0</v>
      </c>
      <c r="N62" s="27">
        <f t="shared" si="15"/>
        <v>0</v>
      </c>
      <c r="O62" s="28">
        <f t="shared" si="15"/>
        <v>0</v>
      </c>
      <c r="P62" s="26">
        <f t="shared" si="15"/>
        <v>0</v>
      </c>
      <c r="Q62" s="27">
        <f t="shared" si="15"/>
        <v>0</v>
      </c>
      <c r="R62" s="28">
        <f t="shared" si="15"/>
        <v>0</v>
      </c>
    </row>
    <row r="63" spans="1:18">
      <c r="A63" s="124" t="s">
        <v>53</v>
      </c>
      <c r="B63" s="125"/>
      <c r="C63" s="125"/>
      <c r="D63" s="125"/>
      <c r="E63" s="125"/>
      <c r="F63" s="125"/>
      <c r="G63" s="41"/>
      <c r="H63" s="42"/>
      <c r="I63" s="43"/>
      <c r="J63" s="69"/>
      <c r="K63" s="42"/>
      <c r="L63" s="43"/>
      <c r="M63" s="41"/>
      <c r="N63" s="42"/>
      <c r="O63" s="43"/>
      <c r="P63" s="41"/>
      <c r="Q63" s="42"/>
      <c r="R63" s="43"/>
    </row>
    <row r="64" spans="1:18" ht="17.25" thickBot="1">
      <c r="A64" s="124" t="s">
        <v>54</v>
      </c>
      <c r="B64" s="125"/>
      <c r="C64" s="125"/>
      <c r="D64" s="125"/>
      <c r="E64" s="125"/>
      <c r="F64" s="125"/>
      <c r="G64" s="44"/>
      <c r="H64" s="45"/>
      <c r="I64" s="46"/>
      <c r="J64" s="70"/>
      <c r="K64" s="45"/>
      <c r="L64" s="46"/>
      <c r="M64" s="44"/>
      <c r="N64" s="45"/>
      <c r="O64" s="46"/>
      <c r="P64" s="44"/>
      <c r="Q64" s="45"/>
      <c r="R64" s="46"/>
    </row>
    <row r="65" spans="1:18">
      <c r="A65" s="47"/>
      <c r="B65" s="47"/>
      <c r="C65" s="47"/>
      <c r="D65" s="47"/>
      <c r="E65" s="47"/>
      <c r="F65" s="4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>
      <c r="A66" s="48" t="s">
        <v>55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72" t="s">
        <v>40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72" t="s">
        <v>89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 s="13" customFormat="1">
      <c r="A69" s="72" t="s">
        <v>90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 s="13" customFormat="1">
      <c r="A70" s="72" t="s">
        <v>41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s="13" customFormat="1">
      <c r="A71" s="72" t="s">
        <v>42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s="13" customFormat="1">
      <c r="A72" s="72" t="s">
        <v>58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s="13" customFormat="1">
      <c r="A73" s="72" t="s">
        <v>43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s="13" customFormat="1">
      <c r="A74" s="72" t="s">
        <v>44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s="13" customFormat="1">
      <c r="A75" s="72" t="s">
        <v>59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s="13" customFormat="1">
      <c r="A76" s="72" t="s">
        <v>60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s="13" customFormat="1">
      <c r="A77" s="72" t="s">
        <v>61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s="13" customFormat="1">
      <c r="A78" s="72" t="s">
        <v>62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s="13" customFormat="1">
      <c r="A79" s="72" t="s">
        <v>63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s="13" customFormat="1">
      <c r="A80" s="75" t="s">
        <v>91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1"/>
      <c r="O80" s="1"/>
      <c r="P80" s="1"/>
      <c r="Q80" s="1"/>
      <c r="R80" s="1"/>
    </row>
    <row r="81" spans="1:18" s="13" customFormat="1">
      <c r="A81" s="1" t="s">
        <v>65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>
      <c r="A82" s="1" t="s">
        <v>66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>
      <c r="A83" s="1" t="s">
        <v>67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>
      <c r="A84" s="1" t="s">
        <v>68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>
      <c r="A85" s="1" t="s">
        <v>69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>
      <c r="A86" s="1" t="s">
        <v>70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>
      <c r="A87" s="1" t="s">
        <v>45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s="1" customFormat="1">
      <c r="A88" s="1" t="s">
        <v>71</v>
      </c>
    </row>
    <row r="89" spans="1:18" s="1" customFormat="1">
      <c r="A89" s="75" t="s">
        <v>92</v>
      </c>
      <c r="B89" s="49"/>
    </row>
    <row r="90" spans="1:18" s="1" customFormat="1">
      <c r="A90" s="75" t="s">
        <v>93</v>
      </c>
      <c r="B90" s="49"/>
    </row>
    <row r="91" spans="1:18" s="1" customFormat="1">
      <c r="A91" s="75" t="s">
        <v>94</v>
      </c>
      <c r="B91" s="49"/>
    </row>
    <row r="92" spans="1:18" s="1" customFormat="1">
      <c r="A92" s="75" t="s">
        <v>95</v>
      </c>
      <c r="B92" s="49"/>
    </row>
    <row r="93" spans="1:18" s="1" customFormat="1">
      <c r="A93" s="75" t="s">
        <v>96</v>
      </c>
      <c r="B93" s="49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1:18" s="1" customFormat="1">
      <c r="A94" s="75" t="s">
        <v>97</v>
      </c>
      <c r="B94" s="49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1:18" s="1" customFormat="1">
      <c r="A95" s="75" t="s">
        <v>98</v>
      </c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N95" s="49"/>
      <c r="O95" s="49"/>
      <c r="P95" s="49"/>
      <c r="Q95" s="49"/>
      <c r="R95" s="49"/>
    </row>
    <row r="96" spans="1:18" s="1" customFormat="1">
      <c r="A96" s="49" t="s">
        <v>99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21" s="1" customFormat="1">
      <c r="A97" s="72" t="s">
        <v>72</v>
      </c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21" s="1" customFormat="1">
      <c r="A98" s="72" t="s">
        <v>73</v>
      </c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21" s="1" customFormat="1">
      <c r="A99" s="72" t="s">
        <v>74</v>
      </c>
      <c r="B99" s="49"/>
      <c r="C99" s="49"/>
      <c r="D99" s="49"/>
    </row>
    <row r="100" spans="1:21" s="1" customFormat="1">
      <c r="A100" s="72" t="s">
        <v>75</v>
      </c>
      <c r="B100" s="49"/>
      <c r="C100" s="49"/>
      <c r="D100" s="49"/>
    </row>
    <row r="101" spans="1:21" s="1" customFormat="1">
      <c r="A101" s="72" t="s">
        <v>76</v>
      </c>
      <c r="B101" s="49"/>
      <c r="C101" s="49"/>
      <c r="D101" s="49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s="1" customFormat="1">
      <c r="A102" s="72" t="s">
        <v>109</v>
      </c>
      <c r="B102" s="49"/>
      <c r="C102" s="49"/>
      <c r="D102" s="49"/>
      <c r="O102" s="49"/>
      <c r="S102" s="12"/>
      <c r="T102" s="12"/>
      <c r="U102" s="12"/>
    </row>
    <row r="103" spans="1:21" s="1" customFormat="1">
      <c r="A103" s="72" t="s">
        <v>100</v>
      </c>
      <c r="B103" s="49"/>
      <c r="C103" s="49"/>
      <c r="D103" s="49"/>
      <c r="S103" s="12"/>
      <c r="T103" s="12"/>
      <c r="U103" s="12"/>
    </row>
    <row r="104" spans="1:21" s="1" customFormat="1">
      <c r="A104" s="72" t="s">
        <v>101</v>
      </c>
      <c r="B104" s="49"/>
      <c r="C104" s="49"/>
      <c r="D104" s="49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s="1" customFormat="1">
      <c r="A105" s="72" t="s">
        <v>102</v>
      </c>
      <c r="B105" s="49"/>
      <c r="C105" s="49"/>
      <c r="D105" s="49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s="1" customFormat="1">
      <c r="A106" s="72" t="s">
        <v>103</v>
      </c>
      <c r="B106" s="76"/>
      <c r="C106" s="76"/>
      <c r="D106" s="76"/>
      <c r="E106" s="54"/>
      <c r="F106" s="54"/>
      <c r="G106" s="54"/>
      <c r="H106" s="54"/>
      <c r="I106" s="54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s="1" customFormat="1">
      <c r="A107" s="72" t="s">
        <v>104</v>
      </c>
      <c r="B107" s="76"/>
      <c r="C107" s="76"/>
      <c r="D107" s="76"/>
      <c r="E107" s="54"/>
      <c r="F107" s="54"/>
      <c r="G107" s="54"/>
      <c r="H107" s="54"/>
      <c r="I107" s="54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s="1" customFormat="1">
      <c r="A108" s="72" t="s">
        <v>105</v>
      </c>
      <c r="B108" s="76"/>
      <c r="C108" s="76"/>
      <c r="D108" s="76"/>
      <c r="E108" s="54"/>
      <c r="F108" s="54"/>
      <c r="G108" s="54"/>
      <c r="H108" s="54"/>
      <c r="I108" s="54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s="1" customFormat="1">
      <c r="A109" s="72" t="s">
        <v>78</v>
      </c>
      <c r="B109" s="49"/>
      <c r="C109" s="49"/>
      <c r="D109" s="49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s="1" customFormat="1">
      <c r="A110" s="72" t="s">
        <v>79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s="1" customFormat="1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s="1" customFormat="1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s="1" customFormat="1">
      <c r="A113" s="72" t="s">
        <v>106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s="1" customFormat="1">
      <c r="A114" s="7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s="1" customFormat="1">
      <c r="A115" s="74" t="s">
        <v>107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s="1" customFormat="1">
      <c r="A116" s="77" t="s">
        <v>108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s="1" customForma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s="1" customFormat="1" ht="4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</sheetData>
  <mergeCells count="70">
    <mergeCell ref="A10:F11"/>
    <mergeCell ref="G10:I10"/>
    <mergeCell ref="J10:L10"/>
    <mergeCell ref="M10:O10"/>
    <mergeCell ref="P10:R10"/>
    <mergeCell ref="C22:F22"/>
    <mergeCell ref="E13:F13"/>
    <mergeCell ref="E14:F14"/>
    <mergeCell ref="D15:F15"/>
    <mergeCell ref="D16:D17"/>
    <mergeCell ref="E16:F16"/>
    <mergeCell ref="E17:F17"/>
    <mergeCell ref="C12:C17"/>
    <mergeCell ref="D12:F12"/>
    <mergeCell ref="D13:D14"/>
    <mergeCell ref="C18:C19"/>
    <mergeCell ref="D18:F18"/>
    <mergeCell ref="D19:F19"/>
    <mergeCell ref="C20:F20"/>
    <mergeCell ref="C21:F21"/>
    <mergeCell ref="E34:F34"/>
    <mergeCell ref="E35:F35"/>
    <mergeCell ref="C23:F23"/>
    <mergeCell ref="B24:F24"/>
    <mergeCell ref="A25:A62"/>
    <mergeCell ref="C25:F25"/>
    <mergeCell ref="C26:F26"/>
    <mergeCell ref="C27:F27"/>
    <mergeCell ref="C28:C37"/>
    <mergeCell ref="D28:F28"/>
    <mergeCell ref="D29:F29"/>
    <mergeCell ref="A12:A24"/>
    <mergeCell ref="B12:B22"/>
    <mergeCell ref="B47:F47"/>
    <mergeCell ref="B48:B59"/>
    <mergeCell ref="C48:C55"/>
    <mergeCell ref="D48:F48"/>
    <mergeCell ref="E49:F49"/>
    <mergeCell ref="E50:F50"/>
    <mergeCell ref="E51:F51"/>
    <mergeCell ref="D52:F52"/>
    <mergeCell ref="E53:F53"/>
    <mergeCell ref="A64:F64"/>
    <mergeCell ref="E54:F54"/>
    <mergeCell ref="E55:F55"/>
    <mergeCell ref="C56:C57"/>
    <mergeCell ref="D56:F56"/>
    <mergeCell ref="D57:F57"/>
    <mergeCell ref="C58:F58"/>
    <mergeCell ref="C59:F59"/>
    <mergeCell ref="C60:F60"/>
    <mergeCell ref="B61:F61"/>
    <mergeCell ref="B62:F62"/>
    <mergeCell ref="A63:F63"/>
    <mergeCell ref="E44:F44"/>
    <mergeCell ref="E45:F45"/>
    <mergeCell ref="E46:F46"/>
    <mergeCell ref="C38:C46"/>
    <mergeCell ref="B25:B46"/>
    <mergeCell ref="D38:F38"/>
    <mergeCell ref="D39:F39"/>
    <mergeCell ref="E40:F40"/>
    <mergeCell ref="E41:F41"/>
    <mergeCell ref="E42:F42"/>
    <mergeCell ref="D43:F43"/>
    <mergeCell ref="E36:F36"/>
    <mergeCell ref="E30:F30"/>
    <mergeCell ref="E31:F31"/>
    <mergeCell ref="E32:F32"/>
    <mergeCell ref="D33:F33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38" orientation="landscape" r:id="rId1"/>
  <rowBreaks count="1" manualBreakCount="1">
    <brk id="64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(19) 만기별 외화자금 유출입현황_개정전</vt:lpstr>
      <vt:lpstr>(19) 만기별 외화자금 유출입현황_개정후 </vt:lpstr>
      <vt:lpstr>'(19) 만기별 외화자금 유출입현황_개정전'!Print_Area</vt:lpstr>
      <vt:lpstr>'(19) 만기별 외화자금 유출입현황_개정후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FSS_NT551XED</cp:lastModifiedBy>
  <cp:lastPrinted>2025-04-16T05:57:39Z</cp:lastPrinted>
  <dcterms:created xsi:type="dcterms:W3CDTF">2009-12-17T00:53:18Z</dcterms:created>
  <dcterms:modified xsi:type="dcterms:W3CDTF">2025-05-23T01:25:01Z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QtMDUtMjBUMDg6MDM6MDBaIiwicElEIjoxLCJ0cmFjZUlkIjoiRDY2M0VFQTczNjc2NEYxQ0JFN0JGOERBODU3MDM0N0IiLCJ1c2VyQ29kZSI6IjIxNzAxNzkifSwibm9kZTIiOnsiZHNkIjoiMDEwMDAwMDAwMDAwMTczOSIsImxvZ1RpbWUiOiIyMDI1LTA0LTE2VDAyOjAxOjQ5WiIsInBJRCI6MSwidHJhY2VJZCI6IkE2QTJEMzMxNUFBRDRGOTc4QzE3OEMyMzc2NzhBMkRFIiwidXNlckNvZGUiOiIyMTcwMTc5In0sIm5vZGUzIjp7ImRzZCI6IjAxMDAwMDAwMDAwMDE3MzkiLCJsb2dUaW1lIjoiMjAyNS0wNS0yMlQwNDoyMTo0MFoiLCJwSUQiOjEsInRyYWNlSWQiOiI1QjkzRDcyRjQxNTk0RTE2QjgyMkE0NDQ1NzMyNERBNCIsInVzZXJDb2RlIjoiMjE3MDE3OSJ9LCJub2RlNCI6eyJkc2QiOiIwMTAwMDAwMDAwMDAxNzM5IiwibG9nVGltZSI6IjIwMjUtMDUtMjNUMDE6MjU6MDZaIiwicElEIjoxLCJ0cmFjZUlkIjoiMzlEODcyQTQxQzc3NEQyOUI3NzFEMUQ3NENGREVCMDciLCJ1c2VyQ29kZSI6IjIyMzE2NDAifSwibm9kZTUiOnsiZHNkIjoiMDAwMDAwMDAwMDAwMDAwMCIsImxvZ1RpbWUiOiIyMDI1LTA1LTI5VDA2OjI1OjMzWiIsInBJRCI6MjA0OCwidHJhY2VJZCI6IjE5NzA4QzA0NjFEMTQ0MjhBNDhFNUUxMkZDNDUwMjhEIiwidXNlckNvZGUiOiIyMjMxNjQwIn0sIm5vZGVDb3VudCI6Nn0=</vt:lpwstr>
  </property>
</Properties>
</file>