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SS_NT551XDA\Desktop\"/>
    </mc:Choice>
  </mc:AlternateContent>
  <xr:revisionPtr revIDLastSave="0" documentId="13_ncr:1_{0E4483B8-B6C5-4035-B90A-35607751A81F}" xr6:coauthVersionLast="37" xr6:coauthVersionMax="37" xr10:uidLastSave="{00000000-0000-0000-0000-000000000000}"/>
  <bookViews>
    <workbookView xWindow="0" yWindow="0" windowWidth="28800" windowHeight="11640" tabRatio="777" xr2:uid="{60693FF8-6B29-415C-B288-C2224C0B8A5D}"/>
  </bookViews>
  <sheets>
    <sheet name="1-1.회사개황" sheetId="84" r:id="rId1"/>
    <sheet name="1-1.회사개황(개정안)" sheetId="1" r:id="rId2"/>
    <sheet name="1-6.임원 및 보호감시인 현황" sheetId="85" r:id="rId3"/>
    <sheet name="1-6.임직원 및 보호감시인 현황(개정안)" sheetId="2" r:id="rId4"/>
    <sheet name="1-7.임원 및 보호감시인 이력서" sheetId="86" r:id="rId5"/>
    <sheet name="1-7.임직원 및 보호감시인 이력서(개정안)" sheetId="43" r:id="rId6"/>
    <sheet name="1-11.법규준수현황" sheetId="87" r:id="rId7"/>
    <sheet name="1-11.법규준수현황(개정안)" sheetId="78" r:id="rId8"/>
    <sheet name="4-2.금액대별 신규취급 현황" sheetId="88" r:id="rId9"/>
    <sheet name="4-2.금액대별 신규취급 현황(개정안)" sheetId="79" r:id="rId10"/>
    <sheet name="4-6.대출신청유형별대출명세" sheetId="89" r:id="rId11"/>
    <sheet name="4-6.대출신청유형별대출명세(개정안)" sheetId="81" r:id="rId12"/>
    <sheet name="6-2 .금리구간대별 대출현황" sheetId="90" r:id="rId13"/>
    <sheet name="6-2 .금리구간대별 대출현황(개정안)" sheetId="82" r:id="rId14"/>
    <sheet name="6-3.금리구간대별 신규취급현황" sheetId="91" r:id="rId15"/>
    <sheet name="6-3.금리구간대별 신규취급현황(개정안)" sheetId="83" r:id="rId16"/>
    <sheet name="10. 대부중개 현황" sheetId="92" r:id="rId17"/>
    <sheet name="10-1. 대부중개 현황(개정안)" sheetId="46" r:id="rId18"/>
    <sheet name="10-2. 대부중개시스템 활용 대부중개 현황(신설)" sheetId="76" r:id="rId19"/>
  </sheets>
  <externalReferences>
    <externalReference r:id="rId20"/>
    <externalReference r:id="rId21"/>
  </externalReferences>
  <definedNames>
    <definedName name="_xlnm.Print_Area" localSheetId="16">'10. 대부중개 현황'!$A$1:$F$15</definedName>
    <definedName name="_xlnm.Print_Area" localSheetId="17">'10-1. 대부중개 현황(개정안)'!$A$1:$G$17</definedName>
    <definedName name="_xlnm.Print_Area" localSheetId="0">'1-1.회사개황'!$A$1:$D$57</definedName>
    <definedName name="_xlnm.Print_Area" localSheetId="1">'1-1.회사개황(개정안)'!$A$1:$D$61</definedName>
    <definedName name="_xlnm.Print_Area" localSheetId="6">'1-11.법규준수현황'!$A$1:$E$35</definedName>
    <definedName name="_xlnm.Print_Area" localSheetId="7">'1-11.법규준수현황(개정안)'!$A$1:$E$35</definedName>
    <definedName name="_xlnm.Print_Area" localSheetId="2">'1-6.임원 및 보호감시인 현황'!$A$1:$M$22</definedName>
    <definedName name="_xlnm.Print_Area" localSheetId="3">'1-6.임직원 및 보호감시인 현황(개정안)'!$A$1:$M$22</definedName>
    <definedName name="_xlnm.Print_Area" localSheetId="4">'1-7.임원 및 보호감시인 이력서'!$A$1:$M$18</definedName>
    <definedName name="_xlnm.Print_Area" localSheetId="5">'1-7.임직원 및 보호감시인 이력서(개정안)'!$A$1:$M$18</definedName>
    <definedName name="검증식사용구분">'[1]공통속성(작성시 참조)'!$F$2:$F$4</definedName>
    <definedName name="구분코드">'[1]공통속성(작성시 참조)'!$D$2:$D$24</definedName>
    <definedName name="보고서유형">'[1]공통속성(작성시 참조)'!$A$2:$A$5</definedName>
    <definedName name="작성주기">'[1]공통속성(작성시 참조)'!$C$2:$C$9</definedName>
    <definedName name="잔존만기" localSheetId="16">#REF!</definedName>
    <definedName name="잔존만기" localSheetId="0">#REF!</definedName>
    <definedName name="잔존만기" localSheetId="6">#REF!</definedName>
    <definedName name="잔존만기" localSheetId="7">#REF!</definedName>
    <definedName name="잔존만기" localSheetId="2">#REF!</definedName>
    <definedName name="잔존만기" localSheetId="4">#REF!</definedName>
    <definedName name="잔존만기" localSheetId="8">#REF!</definedName>
    <definedName name="잔존만기" localSheetId="9">#REF!</definedName>
    <definedName name="잔존만기" localSheetId="10">#REF!</definedName>
    <definedName name="잔존만기" localSheetId="11">#REF!</definedName>
    <definedName name="잔존만기" localSheetId="12">#REF!</definedName>
    <definedName name="잔존만기" localSheetId="13">#REF!</definedName>
    <definedName name="잔존만기" localSheetId="14">#REF!</definedName>
    <definedName name="잔존만기" localSheetId="15">#REF!</definedName>
    <definedName name="잔존만기">#REF!</definedName>
    <definedName name="제출시기">'[1]공통속성(작성시 참조)'!$B$2:$B$5</definedName>
    <definedName name="필수여부">'[1]공통속성(작성시 참조)'!$A$8:$A$9</definedName>
  </definedNames>
  <calcPr calcId="179021"/>
  <fileRecoveryPr autoRecover="0"/>
</workbook>
</file>

<file path=xl/calcChain.xml><?xml version="1.0" encoding="utf-8"?>
<calcChain xmlns="http://schemas.openxmlformats.org/spreadsheetml/2006/main">
  <c r="F5" i="92" l="1"/>
  <c r="F6" i="92"/>
  <c r="F7" i="92"/>
  <c r="AJ5" i="91"/>
  <c r="AK5" i="91"/>
  <c r="AJ6" i="91"/>
  <c r="AK6" i="91"/>
  <c r="AJ7" i="91"/>
  <c r="AK7" i="91"/>
  <c r="F8" i="91"/>
  <c r="F10" i="91" s="1"/>
  <c r="G8" i="91"/>
  <c r="H8" i="91"/>
  <c r="H10" i="91" s="1"/>
  <c r="I8" i="91"/>
  <c r="I10" i="91" s="1"/>
  <c r="J8" i="91"/>
  <c r="K8" i="91"/>
  <c r="K10" i="91" s="1"/>
  <c r="L8" i="91"/>
  <c r="M8" i="91"/>
  <c r="M10" i="91" s="1"/>
  <c r="N8" i="91"/>
  <c r="N10" i="91" s="1"/>
  <c r="O8" i="91"/>
  <c r="P8" i="91"/>
  <c r="P10" i="91" s="1"/>
  <c r="Q8" i="91"/>
  <c r="Q10" i="91" s="1"/>
  <c r="R8" i="91"/>
  <c r="S8" i="91"/>
  <c r="S10" i="91" s="1"/>
  <c r="T8" i="91"/>
  <c r="U8" i="91"/>
  <c r="U10" i="91" s="1"/>
  <c r="V8" i="91"/>
  <c r="V10" i="91" s="1"/>
  <c r="W8" i="91"/>
  <c r="X8" i="91"/>
  <c r="X10" i="91" s="1"/>
  <c r="Y8" i="91"/>
  <c r="Y10" i="91" s="1"/>
  <c r="Z8" i="91"/>
  <c r="AA8" i="91"/>
  <c r="AA10" i="91" s="1"/>
  <c r="AB8" i="91"/>
  <c r="AC8" i="91"/>
  <c r="AC10" i="91" s="1"/>
  <c r="AD8" i="91"/>
  <c r="AD10" i="91" s="1"/>
  <c r="AE8" i="91"/>
  <c r="AF8" i="91"/>
  <c r="AF10" i="91" s="1"/>
  <c r="AG8" i="91"/>
  <c r="AG10" i="91" s="1"/>
  <c r="AH8" i="91"/>
  <c r="AI8" i="91"/>
  <c r="AI10" i="91" s="1"/>
  <c r="AJ9" i="91"/>
  <c r="AK9" i="91"/>
  <c r="G10" i="91"/>
  <c r="AK10" i="91" s="1"/>
  <c r="J10" i="91"/>
  <c r="L10" i="91"/>
  <c r="O10" i="91"/>
  <c r="R10" i="91"/>
  <c r="T10" i="91"/>
  <c r="W10" i="91"/>
  <c r="Z10" i="91"/>
  <c r="AB10" i="91"/>
  <c r="AE10" i="91"/>
  <c r="AH10" i="91"/>
  <c r="AJ11" i="91"/>
  <c r="AK11" i="91"/>
  <c r="AJ12" i="91"/>
  <c r="AK12" i="91"/>
  <c r="AJ13" i="91"/>
  <c r="AK13" i="91"/>
  <c r="F14" i="91"/>
  <c r="F16" i="91" s="1"/>
  <c r="G14" i="91"/>
  <c r="H14" i="91"/>
  <c r="H16" i="91" s="1"/>
  <c r="H23" i="91" s="1"/>
  <c r="I14" i="91"/>
  <c r="I16" i="91" s="1"/>
  <c r="J14" i="91"/>
  <c r="K14" i="91"/>
  <c r="K16" i="91" s="1"/>
  <c r="L14" i="91"/>
  <c r="M14" i="91"/>
  <c r="M16" i="91" s="1"/>
  <c r="N14" i="91"/>
  <c r="N16" i="91" s="1"/>
  <c r="N23" i="91" s="1"/>
  <c r="O14" i="91"/>
  <c r="P14" i="91"/>
  <c r="P16" i="91" s="1"/>
  <c r="P23" i="91" s="1"/>
  <c r="Q14" i="91"/>
  <c r="Q16" i="91" s="1"/>
  <c r="R14" i="91"/>
  <c r="S14" i="91"/>
  <c r="S16" i="91" s="1"/>
  <c r="T14" i="91"/>
  <c r="U14" i="91"/>
  <c r="U16" i="91" s="1"/>
  <c r="V14" i="91"/>
  <c r="V16" i="91" s="1"/>
  <c r="V23" i="91" s="1"/>
  <c r="W14" i="91"/>
  <c r="X14" i="91"/>
  <c r="X16" i="91" s="1"/>
  <c r="X23" i="91" s="1"/>
  <c r="Y14" i="91"/>
  <c r="Y16" i="91" s="1"/>
  <c r="Z14" i="91"/>
  <c r="AA14" i="91"/>
  <c r="AA16" i="91" s="1"/>
  <c r="AB14" i="91"/>
  <c r="AC14" i="91"/>
  <c r="AC16" i="91" s="1"/>
  <c r="AD14" i="91"/>
  <c r="AD16" i="91" s="1"/>
  <c r="AD23" i="91" s="1"/>
  <c r="AE14" i="91"/>
  <c r="AF14" i="91"/>
  <c r="AF16" i="91" s="1"/>
  <c r="AF23" i="91" s="1"/>
  <c r="AG14" i="91"/>
  <c r="AG16" i="91" s="1"/>
  <c r="AH14" i="91"/>
  <c r="AI14" i="91"/>
  <c r="AI16" i="91" s="1"/>
  <c r="AJ15" i="91"/>
  <c r="AK15" i="91"/>
  <c r="G16" i="91"/>
  <c r="AK16" i="91" s="1"/>
  <c r="J16" i="91"/>
  <c r="L16" i="91"/>
  <c r="O16" i="91"/>
  <c r="R16" i="91"/>
  <c r="T16" i="91"/>
  <c r="W16" i="91"/>
  <c r="Z16" i="91"/>
  <c r="AB16" i="91"/>
  <c r="AE16" i="91"/>
  <c r="AH16" i="91"/>
  <c r="AJ17" i="91"/>
  <c r="AK17" i="91"/>
  <c r="AJ18" i="91"/>
  <c r="AK18" i="91"/>
  <c r="AJ19" i="91"/>
  <c r="AK19" i="91"/>
  <c r="F20" i="91"/>
  <c r="F22" i="91" s="1"/>
  <c r="G20" i="91"/>
  <c r="H20" i="91"/>
  <c r="H22" i="91" s="1"/>
  <c r="I20" i="91"/>
  <c r="I22" i="91" s="1"/>
  <c r="J20" i="91"/>
  <c r="K20" i="91"/>
  <c r="K22" i="91" s="1"/>
  <c r="L20" i="91"/>
  <c r="M20" i="91"/>
  <c r="M22" i="91" s="1"/>
  <c r="N20" i="91"/>
  <c r="N22" i="91" s="1"/>
  <c r="O20" i="91"/>
  <c r="P20" i="91"/>
  <c r="P22" i="91" s="1"/>
  <c r="Q20" i="91"/>
  <c r="Q22" i="91" s="1"/>
  <c r="R20" i="91"/>
  <c r="S20" i="91"/>
  <c r="S22" i="91" s="1"/>
  <c r="T20" i="91"/>
  <c r="U20" i="91"/>
  <c r="U22" i="91" s="1"/>
  <c r="V20" i="91"/>
  <c r="V22" i="91" s="1"/>
  <c r="W20" i="91"/>
  <c r="X20" i="91"/>
  <c r="X22" i="91" s="1"/>
  <c r="Y20" i="91"/>
  <c r="Y22" i="91" s="1"/>
  <c r="Z20" i="91"/>
  <c r="AA20" i="91"/>
  <c r="AA22" i="91" s="1"/>
  <c r="AB20" i="91"/>
  <c r="AC20" i="91"/>
  <c r="AC22" i="91" s="1"/>
  <c r="AD20" i="91"/>
  <c r="AD22" i="91" s="1"/>
  <c r="AE20" i="91"/>
  <c r="AF20" i="91"/>
  <c r="AF22" i="91" s="1"/>
  <c r="AG20" i="91"/>
  <c r="AG22" i="91" s="1"/>
  <c r="AH20" i="91"/>
  <c r="AI20" i="91"/>
  <c r="AI22" i="91" s="1"/>
  <c r="AJ21" i="91"/>
  <c r="AK21" i="91"/>
  <c r="G22" i="91"/>
  <c r="J22" i="91"/>
  <c r="L22" i="91"/>
  <c r="O22" i="91"/>
  <c r="R22" i="91"/>
  <c r="T22" i="91"/>
  <c r="W22" i="91"/>
  <c r="Z22" i="91"/>
  <c r="AB22" i="91"/>
  <c r="AE22" i="91"/>
  <c r="AH22" i="91"/>
  <c r="G23" i="91"/>
  <c r="J23" i="91"/>
  <c r="L23" i="91"/>
  <c r="O23" i="91"/>
  <c r="R23" i="91"/>
  <c r="T23" i="91"/>
  <c r="W23" i="91"/>
  <c r="Z23" i="91"/>
  <c r="AB23" i="91"/>
  <c r="AE23" i="91"/>
  <c r="AH23" i="91"/>
  <c r="AJ24" i="91"/>
  <c r="AK24" i="91"/>
  <c r="AJ25" i="91"/>
  <c r="AK25" i="91"/>
  <c r="AJ26" i="91"/>
  <c r="AK26" i="91"/>
  <c r="F27" i="91"/>
  <c r="AJ27" i="91" s="1"/>
  <c r="G27" i="91"/>
  <c r="H27" i="91"/>
  <c r="H29" i="91" s="1"/>
  <c r="I27" i="91"/>
  <c r="I29" i="91" s="1"/>
  <c r="J27" i="91"/>
  <c r="K27" i="91"/>
  <c r="K29" i="91" s="1"/>
  <c r="L27" i="91"/>
  <c r="M27" i="91"/>
  <c r="M29" i="91" s="1"/>
  <c r="N27" i="91"/>
  <c r="N29" i="91" s="1"/>
  <c r="O27" i="91"/>
  <c r="P27" i="91"/>
  <c r="P29" i="91" s="1"/>
  <c r="Q27" i="91"/>
  <c r="Q29" i="91" s="1"/>
  <c r="R27" i="91"/>
  <c r="S27" i="91"/>
  <c r="S29" i="91" s="1"/>
  <c r="T27" i="91"/>
  <c r="U27" i="91"/>
  <c r="U29" i="91" s="1"/>
  <c r="V27" i="91"/>
  <c r="V29" i="91" s="1"/>
  <c r="W27" i="91"/>
  <c r="X27" i="91"/>
  <c r="X29" i="91" s="1"/>
  <c r="Y27" i="91"/>
  <c r="Y29" i="91" s="1"/>
  <c r="Z27" i="91"/>
  <c r="AA27" i="91"/>
  <c r="AA29" i="91" s="1"/>
  <c r="AB27" i="91"/>
  <c r="AC27" i="91"/>
  <c r="AC29" i="91" s="1"/>
  <c r="AD27" i="91"/>
  <c r="AD29" i="91" s="1"/>
  <c r="AE27" i="91"/>
  <c r="AF27" i="91"/>
  <c r="AF29" i="91" s="1"/>
  <c r="AG27" i="91"/>
  <c r="AG29" i="91" s="1"/>
  <c r="AH27" i="91"/>
  <c r="AI27" i="91"/>
  <c r="AI29" i="91" s="1"/>
  <c r="AJ28" i="91"/>
  <c r="AK28" i="91"/>
  <c r="G29" i="91"/>
  <c r="J29" i="91"/>
  <c r="L29" i="91"/>
  <c r="O29" i="91"/>
  <c r="R29" i="91"/>
  <c r="T29" i="91"/>
  <c r="W29" i="91"/>
  <c r="Z29" i="91"/>
  <c r="AB29" i="91"/>
  <c r="AE29" i="91"/>
  <c r="AH29" i="91"/>
  <c r="G30" i="91"/>
  <c r="J30" i="91"/>
  <c r="L30" i="91"/>
  <c r="O30" i="91"/>
  <c r="R30" i="91"/>
  <c r="T30" i="91"/>
  <c r="W30" i="91"/>
  <c r="Z30" i="91"/>
  <c r="AB30" i="91"/>
  <c r="AE30" i="91"/>
  <c r="AH30" i="91"/>
  <c r="AJ5" i="90"/>
  <c r="AK5" i="90"/>
  <c r="AJ6" i="90"/>
  <c r="AK6" i="90"/>
  <c r="AJ7" i="90"/>
  <c r="AK7" i="90"/>
  <c r="F8" i="90"/>
  <c r="F10" i="90" s="1"/>
  <c r="G8" i="90"/>
  <c r="H8" i="90"/>
  <c r="I8" i="90"/>
  <c r="J8" i="90"/>
  <c r="K8" i="90"/>
  <c r="L8" i="90"/>
  <c r="M8" i="90"/>
  <c r="N8" i="90"/>
  <c r="N10" i="90" s="1"/>
  <c r="O8" i="90"/>
  <c r="P8" i="90"/>
  <c r="Q8" i="90"/>
  <c r="R8" i="90"/>
  <c r="S8" i="90"/>
  <c r="T8" i="90"/>
  <c r="U8" i="90"/>
  <c r="V8" i="90"/>
  <c r="V10" i="90" s="1"/>
  <c r="W8" i="90"/>
  <c r="X8" i="90"/>
  <c r="Y8" i="90"/>
  <c r="Z8" i="90"/>
  <c r="AA8" i="90"/>
  <c r="AB8" i="90"/>
  <c r="AC8" i="90"/>
  <c r="AD8" i="90"/>
  <c r="AD10" i="90" s="1"/>
  <c r="AE8" i="90"/>
  <c r="AF8" i="90"/>
  <c r="AG8" i="90"/>
  <c r="AH8" i="90"/>
  <c r="AI8" i="90"/>
  <c r="AK8" i="90"/>
  <c r="AJ9" i="90"/>
  <c r="AK9" i="90"/>
  <c r="G10" i="90"/>
  <c r="H10" i="90"/>
  <c r="I10" i="90"/>
  <c r="J10" i="90"/>
  <c r="K10" i="90"/>
  <c r="L10" i="90"/>
  <c r="M10" i="90"/>
  <c r="O10" i="90"/>
  <c r="P10" i="90"/>
  <c r="Q10" i="90"/>
  <c r="R10" i="90"/>
  <c r="S10" i="90"/>
  <c r="T10" i="90"/>
  <c r="U10" i="90"/>
  <c r="W10" i="90"/>
  <c r="X10" i="90"/>
  <c r="Y10" i="90"/>
  <c r="Z10" i="90"/>
  <c r="AA10" i="90"/>
  <c r="AB10" i="90"/>
  <c r="AC10" i="90"/>
  <c r="AE10" i="90"/>
  <c r="AF10" i="90"/>
  <c r="AG10" i="90"/>
  <c r="AH10" i="90"/>
  <c r="AI10" i="90"/>
  <c r="AK10" i="90"/>
  <c r="AJ11" i="90"/>
  <c r="AK11" i="90"/>
  <c r="AJ12" i="90"/>
  <c r="AK12" i="90"/>
  <c r="AJ13" i="90"/>
  <c r="AK13" i="90"/>
  <c r="F14" i="90"/>
  <c r="F16" i="90" s="1"/>
  <c r="G14" i="90"/>
  <c r="G16" i="90" s="1"/>
  <c r="H14" i="90"/>
  <c r="H16" i="90" s="1"/>
  <c r="H23" i="90" s="1"/>
  <c r="H30" i="90" s="1"/>
  <c r="I14" i="90"/>
  <c r="J14" i="90"/>
  <c r="K14" i="90"/>
  <c r="L14" i="90"/>
  <c r="M14" i="90"/>
  <c r="N14" i="90"/>
  <c r="N16" i="90" s="1"/>
  <c r="N23" i="90" s="1"/>
  <c r="O14" i="90"/>
  <c r="P14" i="90"/>
  <c r="Q14" i="90"/>
  <c r="R14" i="90"/>
  <c r="S14" i="90"/>
  <c r="T14" i="90"/>
  <c r="U14" i="90"/>
  <c r="V14" i="90"/>
  <c r="V16" i="90" s="1"/>
  <c r="V23" i="90" s="1"/>
  <c r="W14" i="90"/>
  <c r="X14" i="90"/>
  <c r="Y14" i="90"/>
  <c r="Z14" i="90"/>
  <c r="AA14" i="90"/>
  <c r="AB14" i="90"/>
  <c r="AC14" i="90"/>
  <c r="AD14" i="90"/>
  <c r="AD16" i="90" s="1"/>
  <c r="AD23" i="90" s="1"/>
  <c r="AE14" i="90"/>
  <c r="AF14" i="90"/>
  <c r="AG14" i="90"/>
  <c r="AH14" i="90"/>
  <c r="AI14" i="90"/>
  <c r="AK14" i="90"/>
  <c r="AJ15" i="90"/>
  <c r="AK15" i="90"/>
  <c r="I16" i="90"/>
  <c r="J16" i="90"/>
  <c r="K16" i="90"/>
  <c r="L16" i="90"/>
  <c r="M16" i="90"/>
  <c r="O16" i="90"/>
  <c r="P16" i="90"/>
  <c r="Q16" i="90"/>
  <c r="R16" i="90"/>
  <c r="S16" i="90"/>
  <c r="T16" i="90"/>
  <c r="U16" i="90"/>
  <c r="W16" i="90"/>
  <c r="X16" i="90"/>
  <c r="Y16" i="90"/>
  <c r="Z16" i="90"/>
  <c r="AA16" i="90"/>
  <c r="AB16" i="90"/>
  <c r="AC16" i="90"/>
  <c r="AE16" i="90"/>
  <c r="AF16" i="90"/>
  <c r="AG16" i="90"/>
  <c r="AH16" i="90"/>
  <c r="AI16" i="90"/>
  <c r="AJ17" i="90"/>
  <c r="AK17" i="90"/>
  <c r="AJ18" i="90"/>
  <c r="AK18" i="90"/>
  <c r="AJ19" i="90"/>
  <c r="AK19" i="90"/>
  <c r="F20" i="90"/>
  <c r="F22" i="90" s="1"/>
  <c r="G20" i="90"/>
  <c r="H20" i="90"/>
  <c r="I20" i="90"/>
  <c r="J20" i="90"/>
  <c r="K20" i="90"/>
  <c r="L20" i="90"/>
  <c r="M20" i="90"/>
  <c r="N20" i="90"/>
  <c r="N22" i="90" s="1"/>
  <c r="O20" i="90"/>
  <c r="P20" i="90"/>
  <c r="Q20" i="90"/>
  <c r="R20" i="90"/>
  <c r="S20" i="90"/>
  <c r="T20" i="90"/>
  <c r="U20" i="90"/>
  <c r="V20" i="90"/>
  <c r="V22" i="90" s="1"/>
  <c r="W20" i="90"/>
  <c r="X20" i="90"/>
  <c r="Y20" i="90"/>
  <c r="Z20" i="90"/>
  <c r="AA20" i="90"/>
  <c r="AB20" i="90"/>
  <c r="AC20" i="90"/>
  <c r="AD20" i="90"/>
  <c r="AD22" i="90" s="1"/>
  <c r="AE20" i="90"/>
  <c r="AF20" i="90"/>
  <c r="AG20" i="90"/>
  <c r="AH20" i="90"/>
  <c r="AI20" i="90"/>
  <c r="AK20" i="90"/>
  <c r="AJ21" i="90"/>
  <c r="AK21" i="90"/>
  <c r="G22" i="90"/>
  <c r="H22" i="90"/>
  <c r="I22" i="90"/>
  <c r="J22" i="90"/>
  <c r="K22" i="90"/>
  <c r="L22" i="90"/>
  <c r="M22" i="90"/>
  <c r="O22" i="90"/>
  <c r="P22" i="90"/>
  <c r="Q22" i="90"/>
  <c r="R22" i="90"/>
  <c r="S22" i="90"/>
  <c r="T22" i="90"/>
  <c r="U22" i="90"/>
  <c r="W22" i="90"/>
  <c r="X22" i="90"/>
  <c r="Y22" i="90"/>
  <c r="Z22" i="90"/>
  <c r="AA22" i="90"/>
  <c r="AB22" i="90"/>
  <c r="AC22" i="90"/>
  <c r="AE22" i="90"/>
  <c r="AF22" i="90"/>
  <c r="AG22" i="90"/>
  <c r="AH22" i="90"/>
  <c r="AI22" i="90"/>
  <c r="AK22" i="90"/>
  <c r="I23" i="90"/>
  <c r="J23" i="90"/>
  <c r="K23" i="90"/>
  <c r="L23" i="90"/>
  <c r="M23" i="90"/>
  <c r="O23" i="90"/>
  <c r="P23" i="90"/>
  <c r="Q23" i="90"/>
  <c r="R23" i="90"/>
  <c r="S23" i="90"/>
  <c r="T23" i="90"/>
  <c r="U23" i="90"/>
  <c r="W23" i="90"/>
  <c r="X23" i="90"/>
  <c r="Y23" i="90"/>
  <c r="Z23" i="90"/>
  <c r="AA23" i="90"/>
  <c r="AB23" i="90"/>
  <c r="AC23" i="90"/>
  <c r="AE23" i="90"/>
  <c r="AF23" i="90"/>
  <c r="AG23" i="90"/>
  <c r="AH23" i="90"/>
  <c r="AI23" i="90"/>
  <c r="AJ24" i="90"/>
  <c r="AK24" i="90"/>
  <c r="AJ25" i="90"/>
  <c r="AK25" i="90"/>
  <c r="AJ26" i="90"/>
  <c r="AK26" i="90"/>
  <c r="F27" i="90"/>
  <c r="F29" i="90" s="1"/>
  <c r="G27" i="90"/>
  <c r="H27" i="90"/>
  <c r="I27" i="90"/>
  <c r="J27" i="90"/>
  <c r="K27" i="90"/>
  <c r="L27" i="90"/>
  <c r="M27" i="90"/>
  <c r="N27" i="90"/>
  <c r="N29" i="90" s="1"/>
  <c r="O27" i="90"/>
  <c r="P27" i="90"/>
  <c r="Q27" i="90"/>
  <c r="R27" i="90"/>
  <c r="S27" i="90"/>
  <c r="T27" i="90"/>
  <c r="U27" i="90"/>
  <c r="V27" i="90"/>
  <c r="V29" i="90" s="1"/>
  <c r="W27" i="90"/>
  <c r="X27" i="90"/>
  <c r="Y27" i="90"/>
  <c r="Z27" i="90"/>
  <c r="AA27" i="90"/>
  <c r="AB27" i="90"/>
  <c r="AC27" i="90"/>
  <c r="AD27" i="90"/>
  <c r="AD29" i="90" s="1"/>
  <c r="AE27" i="90"/>
  <c r="AF27" i="90"/>
  <c r="AG27" i="90"/>
  <c r="AH27" i="90"/>
  <c r="AI27" i="90"/>
  <c r="AK27" i="90"/>
  <c r="AJ28" i="90"/>
  <c r="AK28" i="90"/>
  <c r="G29" i="90"/>
  <c r="H29" i="90"/>
  <c r="I29" i="90"/>
  <c r="J29" i="90"/>
  <c r="K29" i="90"/>
  <c r="L29" i="90"/>
  <c r="M29" i="90"/>
  <c r="O29" i="90"/>
  <c r="P29" i="90"/>
  <c r="Q29" i="90"/>
  <c r="R29" i="90"/>
  <c r="S29" i="90"/>
  <c r="T29" i="90"/>
  <c r="U29" i="90"/>
  <c r="W29" i="90"/>
  <c r="X29" i="90"/>
  <c r="Y29" i="90"/>
  <c r="Z29" i="90"/>
  <c r="AA29" i="90"/>
  <c r="AB29" i="90"/>
  <c r="AC29" i="90"/>
  <c r="AE29" i="90"/>
  <c r="AF29" i="90"/>
  <c r="AG29" i="90"/>
  <c r="AH29" i="90"/>
  <c r="AI29" i="90"/>
  <c r="AK29" i="90"/>
  <c r="I30" i="90"/>
  <c r="J30" i="90"/>
  <c r="K30" i="90"/>
  <c r="L30" i="90"/>
  <c r="M30" i="90"/>
  <c r="O30" i="90"/>
  <c r="P30" i="90"/>
  <c r="Q30" i="90"/>
  <c r="R30" i="90"/>
  <c r="S30" i="90"/>
  <c r="T30" i="90"/>
  <c r="U30" i="90"/>
  <c r="W30" i="90"/>
  <c r="X30" i="90"/>
  <c r="Y30" i="90"/>
  <c r="Z30" i="90"/>
  <c r="AA30" i="90"/>
  <c r="AB30" i="90"/>
  <c r="AC30" i="90"/>
  <c r="AE30" i="90"/>
  <c r="AF30" i="90"/>
  <c r="AG30" i="90"/>
  <c r="AH30" i="90"/>
  <c r="AI30" i="90"/>
  <c r="D12" i="89"/>
  <c r="E12" i="89"/>
  <c r="F12" i="89"/>
  <c r="G12" i="89"/>
  <c r="H12" i="89"/>
  <c r="I12" i="89"/>
  <c r="P5" i="88"/>
  <c r="Q5" i="88"/>
  <c r="P6" i="88"/>
  <c r="Q6" i="88"/>
  <c r="P7" i="88"/>
  <c r="Q7" i="88"/>
  <c r="F8" i="88"/>
  <c r="P8" i="88" s="1"/>
  <c r="G8" i="88"/>
  <c r="Q8" i="88" s="1"/>
  <c r="H8" i="88"/>
  <c r="I8" i="88"/>
  <c r="J8" i="88"/>
  <c r="J10" i="88" s="1"/>
  <c r="K8" i="88"/>
  <c r="L8" i="88"/>
  <c r="M8" i="88"/>
  <c r="N8" i="88"/>
  <c r="N10" i="88" s="1"/>
  <c r="O8" i="88"/>
  <c r="P9" i="88"/>
  <c r="Q9" i="88"/>
  <c r="G10" i="88"/>
  <c r="H10" i="88"/>
  <c r="I10" i="88"/>
  <c r="K10" i="88"/>
  <c r="L10" i="88"/>
  <c r="M10" i="88"/>
  <c r="O10" i="88"/>
  <c r="Q10" i="88"/>
  <c r="P11" i="88"/>
  <c r="Q11" i="88"/>
  <c r="P12" i="88"/>
  <c r="Q12" i="88"/>
  <c r="P13" i="88"/>
  <c r="Q13" i="88"/>
  <c r="F14" i="88"/>
  <c r="P14" i="88" s="1"/>
  <c r="G14" i="88"/>
  <c r="Q14" i="88" s="1"/>
  <c r="H14" i="88"/>
  <c r="I14" i="88"/>
  <c r="J14" i="88"/>
  <c r="J16" i="88" s="1"/>
  <c r="J23" i="88" s="1"/>
  <c r="K14" i="88"/>
  <c r="L14" i="88"/>
  <c r="M14" i="88"/>
  <c r="M16" i="88" s="1"/>
  <c r="M23" i="88" s="1"/>
  <c r="M30" i="88" s="1"/>
  <c r="N14" i="88"/>
  <c r="N16" i="88" s="1"/>
  <c r="N23" i="88" s="1"/>
  <c r="O14" i="88"/>
  <c r="O16" i="88" s="1"/>
  <c r="P15" i="88"/>
  <c r="Q15" i="88"/>
  <c r="H16" i="88"/>
  <c r="I16" i="88"/>
  <c r="K16" i="88"/>
  <c r="L16" i="88"/>
  <c r="L23" i="88" s="1"/>
  <c r="L30" i="88" s="1"/>
  <c r="P17" i="88"/>
  <c r="Q17" i="88"/>
  <c r="P18" i="88"/>
  <c r="Q18" i="88"/>
  <c r="P19" i="88"/>
  <c r="Q19" i="88"/>
  <c r="F20" i="88"/>
  <c r="P20" i="88" s="1"/>
  <c r="G20" i="88"/>
  <c r="Q20" i="88" s="1"/>
  <c r="H20" i="88"/>
  <c r="I20" i="88"/>
  <c r="J20" i="88"/>
  <c r="J22" i="88" s="1"/>
  <c r="K20" i="88"/>
  <c r="L20" i="88"/>
  <c r="M20" i="88"/>
  <c r="M22" i="88" s="1"/>
  <c r="N20" i="88"/>
  <c r="N22" i="88" s="1"/>
  <c r="O20" i="88"/>
  <c r="O22" i="88" s="1"/>
  <c r="P21" i="88"/>
  <c r="Q21" i="88"/>
  <c r="H22" i="88"/>
  <c r="I22" i="88"/>
  <c r="I23" i="88" s="1"/>
  <c r="I30" i="88" s="1"/>
  <c r="K22" i="88"/>
  <c r="K23" i="88" s="1"/>
  <c r="L22" i="88"/>
  <c r="H23" i="88"/>
  <c r="H30" i="88" s="1"/>
  <c r="P24" i="88"/>
  <c r="Q24" i="88"/>
  <c r="P25" i="88"/>
  <c r="Q25" i="88"/>
  <c r="P26" i="88"/>
  <c r="Q26" i="88"/>
  <c r="F27" i="88"/>
  <c r="F29" i="88" s="1"/>
  <c r="P29" i="88" s="1"/>
  <c r="G27" i="88"/>
  <c r="H27" i="88"/>
  <c r="I27" i="88"/>
  <c r="J27" i="88"/>
  <c r="J29" i="88" s="1"/>
  <c r="K27" i="88"/>
  <c r="Q27" i="88" s="1"/>
  <c r="L27" i="88"/>
  <c r="M27" i="88"/>
  <c r="N27" i="88"/>
  <c r="N29" i="88" s="1"/>
  <c r="O27" i="88"/>
  <c r="P28" i="88"/>
  <c r="Q28" i="88"/>
  <c r="G29" i="88"/>
  <c r="H29" i="88"/>
  <c r="I29" i="88"/>
  <c r="L29" i="88"/>
  <c r="M29" i="88"/>
  <c r="O29" i="88"/>
  <c r="AJ16" i="91" l="1"/>
  <c r="F23" i="91"/>
  <c r="AJ23" i="91" s="1"/>
  <c r="M23" i="91"/>
  <c r="AJ10" i="91"/>
  <c r="F30" i="91"/>
  <c r="AK29" i="91"/>
  <c r="AI23" i="91"/>
  <c r="AI30" i="91" s="1"/>
  <c r="AA23" i="91"/>
  <c r="AA30" i="91" s="1"/>
  <c r="S23" i="91"/>
  <c r="K23" i="91"/>
  <c r="M30" i="91"/>
  <c r="S30" i="91"/>
  <c r="K30" i="91"/>
  <c r="AC23" i="91"/>
  <c r="V30" i="91"/>
  <c r="U30" i="91"/>
  <c r="AG23" i="91"/>
  <c r="AG30" i="91" s="1"/>
  <c r="Y23" i="91"/>
  <c r="Q23" i="91"/>
  <c r="Q30" i="91" s="1"/>
  <c r="I23" i="91"/>
  <c r="AK23" i="91" s="1"/>
  <c r="U23" i="91"/>
  <c r="N30" i="91"/>
  <c r="AC30" i="91"/>
  <c r="Y30" i="91"/>
  <c r="AD30" i="91"/>
  <c r="AK22" i="91"/>
  <c r="AJ22" i="91"/>
  <c r="AF30" i="91"/>
  <c r="X30" i="91"/>
  <c r="P30" i="91"/>
  <c r="H30" i="91"/>
  <c r="F29" i="91"/>
  <c r="AJ29" i="91" s="1"/>
  <c r="AK20" i="91"/>
  <c r="AK14" i="91"/>
  <c r="AK8" i="91"/>
  <c r="AK27" i="91"/>
  <c r="AJ20" i="91"/>
  <c r="AJ14" i="91"/>
  <c r="AJ8" i="91"/>
  <c r="F23" i="90"/>
  <c r="AJ23" i="90" s="1"/>
  <c r="AJ16" i="90"/>
  <c r="AJ22" i="90"/>
  <c r="AD30" i="90"/>
  <c r="V30" i="90"/>
  <c r="N30" i="90"/>
  <c r="F30" i="90"/>
  <c r="AJ30" i="90" s="1"/>
  <c r="AJ10" i="90"/>
  <c r="AJ29" i="90"/>
  <c r="G23" i="90"/>
  <c r="AK16" i="90"/>
  <c r="AJ27" i="90"/>
  <c r="AJ20" i="90"/>
  <c r="AJ14" i="90"/>
  <c r="AJ8" i="90"/>
  <c r="N30" i="88"/>
  <c r="J30" i="88"/>
  <c r="O23" i="88"/>
  <c r="O30" i="88" s="1"/>
  <c r="K29" i="88"/>
  <c r="K30" i="88" s="1"/>
  <c r="G22" i="88"/>
  <c r="Q22" i="88" s="1"/>
  <c r="G16" i="88"/>
  <c r="P27" i="88"/>
  <c r="F22" i="88"/>
  <c r="P22" i="88" s="1"/>
  <c r="F16" i="88"/>
  <c r="F10" i="88"/>
  <c r="I30" i="91" l="1"/>
  <c r="AK30" i="91" s="1"/>
  <c r="AJ30" i="91"/>
  <c r="G30" i="90"/>
  <c r="AK30" i="90" s="1"/>
  <c r="AK23" i="90"/>
  <c r="G23" i="88"/>
  <c r="G30" i="88" s="1"/>
  <c r="Q30" i="88" s="1"/>
  <c r="Q16" i="88"/>
  <c r="Q23" i="88" s="1"/>
  <c r="P10" i="88"/>
  <c r="Q29" i="88"/>
  <c r="F23" i="88"/>
  <c r="F30" i="88" s="1"/>
  <c r="P30" i="88" s="1"/>
  <c r="P16" i="88"/>
  <c r="P23" i="88" s="1"/>
  <c r="J29" i="83" l="1"/>
  <c r="Y28" i="83"/>
  <c r="X28" i="83"/>
  <c r="W27" i="83"/>
  <c r="W29" i="83" s="1"/>
  <c r="V27" i="83"/>
  <c r="V29" i="83" s="1"/>
  <c r="U27" i="83"/>
  <c r="U29" i="83" s="1"/>
  <c r="T27" i="83"/>
  <c r="T29" i="83" s="1"/>
  <c r="S27" i="83"/>
  <c r="S29" i="83" s="1"/>
  <c r="R27" i="83"/>
  <c r="R29" i="83" s="1"/>
  <c r="Q27" i="83"/>
  <c r="Q29" i="83" s="1"/>
  <c r="P27" i="83"/>
  <c r="P29" i="83" s="1"/>
  <c r="O27" i="83"/>
  <c r="O29" i="83" s="1"/>
  <c r="N27" i="83"/>
  <c r="N29" i="83" s="1"/>
  <c r="M27" i="83"/>
  <c r="M29" i="83" s="1"/>
  <c r="L27" i="83"/>
  <c r="L29" i="83" s="1"/>
  <c r="K27" i="83"/>
  <c r="Y27" i="83" s="1"/>
  <c r="J27" i="83"/>
  <c r="I27" i="83"/>
  <c r="I29" i="83" s="1"/>
  <c r="H27" i="83"/>
  <c r="H29" i="83" s="1"/>
  <c r="G27" i="83"/>
  <c r="G29" i="83" s="1"/>
  <c r="F27" i="83"/>
  <c r="F29" i="83" s="1"/>
  <c r="Y26" i="83"/>
  <c r="X26" i="83"/>
  <c r="Y25" i="83"/>
  <c r="X25" i="83"/>
  <c r="Y24" i="83"/>
  <c r="X24" i="83"/>
  <c r="Q22" i="83"/>
  <c r="Y21" i="83"/>
  <c r="X21" i="83"/>
  <c r="W20" i="83"/>
  <c r="W22" i="83" s="1"/>
  <c r="V20" i="83"/>
  <c r="V22" i="83" s="1"/>
  <c r="U20" i="83"/>
  <c r="U22" i="83" s="1"/>
  <c r="T20" i="83"/>
  <c r="T22" i="83" s="1"/>
  <c r="S20" i="83"/>
  <c r="S22" i="83" s="1"/>
  <c r="R20" i="83"/>
  <c r="R22" i="83" s="1"/>
  <c r="Q20" i="83"/>
  <c r="P20" i="83"/>
  <c r="P22" i="83" s="1"/>
  <c r="O20" i="83"/>
  <c r="O22" i="83" s="1"/>
  <c r="N20" i="83"/>
  <c r="N22" i="83" s="1"/>
  <c r="M20" i="83"/>
  <c r="M22" i="83" s="1"/>
  <c r="L20" i="83"/>
  <c r="L22" i="83" s="1"/>
  <c r="K20" i="83"/>
  <c r="K22" i="83" s="1"/>
  <c r="J20" i="83"/>
  <c r="J22" i="83" s="1"/>
  <c r="I20" i="83"/>
  <c r="I22" i="83" s="1"/>
  <c r="H20" i="83"/>
  <c r="H22" i="83" s="1"/>
  <c r="G20" i="83"/>
  <c r="Y20" i="83" s="1"/>
  <c r="F20" i="83"/>
  <c r="X20" i="83" s="1"/>
  <c r="Y19" i="83"/>
  <c r="X19" i="83"/>
  <c r="Y18" i="83"/>
  <c r="X18" i="83"/>
  <c r="Y17" i="83"/>
  <c r="X17" i="83"/>
  <c r="W16" i="83"/>
  <c r="F16" i="83"/>
  <c r="Y15" i="83"/>
  <c r="X15" i="83"/>
  <c r="W14" i="83"/>
  <c r="V14" i="83"/>
  <c r="V16" i="83" s="1"/>
  <c r="V23" i="83" s="1"/>
  <c r="U14" i="83"/>
  <c r="U16" i="83" s="1"/>
  <c r="U23" i="83" s="1"/>
  <c r="T14" i="83"/>
  <c r="T16" i="83" s="1"/>
  <c r="S14" i="83"/>
  <c r="S16" i="83" s="1"/>
  <c r="R14" i="83"/>
  <c r="R16" i="83" s="1"/>
  <c r="R23" i="83" s="1"/>
  <c r="Q14" i="83"/>
  <c r="Q16" i="83" s="1"/>
  <c r="Q23" i="83" s="1"/>
  <c r="P14" i="83"/>
  <c r="P16" i="83" s="1"/>
  <c r="P23" i="83" s="1"/>
  <c r="O14" i="83"/>
  <c r="O16" i="83" s="1"/>
  <c r="N14" i="83"/>
  <c r="N16" i="83" s="1"/>
  <c r="M14" i="83"/>
  <c r="M16" i="83" s="1"/>
  <c r="M23" i="83" s="1"/>
  <c r="L14" i="83"/>
  <c r="L16" i="83" s="1"/>
  <c r="L23" i="83" s="1"/>
  <c r="K14" i="83"/>
  <c r="K16" i="83" s="1"/>
  <c r="K23" i="83" s="1"/>
  <c r="J14" i="83"/>
  <c r="J16" i="83" s="1"/>
  <c r="J23" i="83" s="1"/>
  <c r="I14" i="83"/>
  <c r="I16" i="83" s="1"/>
  <c r="H14" i="83"/>
  <c r="H16" i="83" s="1"/>
  <c r="G14" i="83"/>
  <c r="Y14" i="83" s="1"/>
  <c r="F14" i="83"/>
  <c r="Y13" i="83"/>
  <c r="X13" i="83"/>
  <c r="Y12" i="83"/>
  <c r="X12" i="83"/>
  <c r="Y11" i="83"/>
  <c r="X11" i="83"/>
  <c r="L10" i="83"/>
  <c r="Y9" i="83"/>
  <c r="X9" i="83"/>
  <c r="W8" i="83"/>
  <c r="W10" i="83" s="1"/>
  <c r="V8" i="83"/>
  <c r="V10" i="83" s="1"/>
  <c r="U8" i="83"/>
  <c r="U10" i="83" s="1"/>
  <c r="U30" i="83" s="1"/>
  <c r="T8" i="83"/>
  <c r="T10" i="83" s="1"/>
  <c r="S8" i="83"/>
  <c r="S10" i="83" s="1"/>
  <c r="R8" i="83"/>
  <c r="R10" i="83" s="1"/>
  <c r="Q8" i="83"/>
  <c r="Q10" i="83" s="1"/>
  <c r="P8" i="83"/>
  <c r="P10" i="83" s="1"/>
  <c r="O8" i="83"/>
  <c r="O10" i="83" s="1"/>
  <c r="N8" i="83"/>
  <c r="N10" i="83" s="1"/>
  <c r="M8" i="83"/>
  <c r="M10" i="83" s="1"/>
  <c r="L8" i="83"/>
  <c r="K8" i="83"/>
  <c r="K10" i="83" s="1"/>
  <c r="J8" i="83"/>
  <c r="J10" i="83" s="1"/>
  <c r="I8" i="83"/>
  <c r="I10" i="83" s="1"/>
  <c r="H8" i="83"/>
  <c r="H10" i="83" s="1"/>
  <c r="G8" i="83"/>
  <c r="F8" i="83"/>
  <c r="X8" i="83" s="1"/>
  <c r="Y7" i="83"/>
  <c r="X7" i="83"/>
  <c r="Y6" i="83"/>
  <c r="X6" i="83"/>
  <c r="Y5" i="83"/>
  <c r="X5" i="83"/>
  <c r="P29" i="82"/>
  <c r="Y28" i="82"/>
  <c r="X28" i="82"/>
  <c r="W27" i="82"/>
  <c r="W29" i="82" s="1"/>
  <c r="V27" i="82"/>
  <c r="V29" i="82" s="1"/>
  <c r="U27" i="82"/>
  <c r="U29" i="82" s="1"/>
  <c r="T27" i="82"/>
  <c r="T29" i="82" s="1"/>
  <c r="S27" i="82"/>
  <c r="S29" i="82" s="1"/>
  <c r="R27" i="82"/>
  <c r="R29" i="82" s="1"/>
  <c r="Q27" i="82"/>
  <c r="Q29" i="82" s="1"/>
  <c r="P27" i="82"/>
  <c r="O27" i="82"/>
  <c r="O29" i="82" s="1"/>
  <c r="N27" i="82"/>
  <c r="N29" i="82" s="1"/>
  <c r="M27" i="82"/>
  <c r="M29" i="82" s="1"/>
  <c r="L27" i="82"/>
  <c r="L29" i="82" s="1"/>
  <c r="K27" i="82"/>
  <c r="K29" i="82" s="1"/>
  <c r="J27" i="82"/>
  <c r="J29" i="82" s="1"/>
  <c r="I27" i="82"/>
  <c r="I29" i="82" s="1"/>
  <c r="H27" i="82"/>
  <c r="H29" i="82" s="1"/>
  <c r="G27" i="82"/>
  <c r="G29" i="82" s="1"/>
  <c r="F27" i="82"/>
  <c r="F29" i="82" s="1"/>
  <c r="Y26" i="82"/>
  <c r="X26" i="82"/>
  <c r="Y25" i="82"/>
  <c r="X25" i="82"/>
  <c r="Y24" i="82"/>
  <c r="X24" i="82"/>
  <c r="T22" i="82"/>
  <c r="H22" i="82"/>
  <c r="Y21" i="82"/>
  <c r="X21" i="82"/>
  <c r="W20" i="82"/>
  <c r="W22" i="82" s="1"/>
  <c r="V20" i="82"/>
  <c r="V22" i="82" s="1"/>
  <c r="U20" i="82"/>
  <c r="U22" i="82" s="1"/>
  <c r="T20" i="82"/>
  <c r="S20" i="82"/>
  <c r="S22" i="82" s="1"/>
  <c r="R20" i="82"/>
  <c r="R22" i="82" s="1"/>
  <c r="Q20" i="82"/>
  <c r="Q22" i="82" s="1"/>
  <c r="P20" i="82"/>
  <c r="P22" i="82" s="1"/>
  <c r="O20" i="82"/>
  <c r="O22" i="82" s="1"/>
  <c r="N20" i="82"/>
  <c r="N22" i="82" s="1"/>
  <c r="M20" i="82"/>
  <c r="M22" i="82" s="1"/>
  <c r="L20" i="82"/>
  <c r="L22" i="82" s="1"/>
  <c r="K20" i="82"/>
  <c r="K22" i="82" s="1"/>
  <c r="J20" i="82"/>
  <c r="J22" i="82" s="1"/>
  <c r="I20" i="82"/>
  <c r="I22" i="82" s="1"/>
  <c r="H20" i="82"/>
  <c r="G20" i="82"/>
  <c r="G22" i="82" s="1"/>
  <c r="F20" i="82"/>
  <c r="X20" i="82" s="1"/>
  <c r="Y19" i="82"/>
  <c r="X19" i="82"/>
  <c r="Y18" i="82"/>
  <c r="X18" i="82"/>
  <c r="Y17" i="82"/>
  <c r="X17" i="82"/>
  <c r="S16" i="82"/>
  <c r="G16" i="82"/>
  <c r="Y15" i="82"/>
  <c r="X15" i="82"/>
  <c r="W14" i="82"/>
  <c r="W16" i="82" s="1"/>
  <c r="V14" i="82"/>
  <c r="V16" i="82" s="1"/>
  <c r="U14" i="82"/>
  <c r="U16" i="82" s="1"/>
  <c r="T14" i="82"/>
  <c r="T16" i="82" s="1"/>
  <c r="T23" i="82" s="1"/>
  <c r="S14" i="82"/>
  <c r="R14" i="82"/>
  <c r="R16" i="82" s="1"/>
  <c r="R23" i="82" s="1"/>
  <c r="Q14" i="82"/>
  <c r="Q16" i="82" s="1"/>
  <c r="Q23" i="82" s="1"/>
  <c r="P14" i="82"/>
  <c r="P16" i="82" s="1"/>
  <c r="O14" i="82"/>
  <c r="O16" i="82" s="1"/>
  <c r="O23" i="82" s="1"/>
  <c r="N14" i="82"/>
  <c r="N16" i="82" s="1"/>
  <c r="M14" i="82"/>
  <c r="M16" i="82" s="1"/>
  <c r="L14" i="82"/>
  <c r="L16" i="82" s="1"/>
  <c r="K14" i="82"/>
  <c r="J14" i="82"/>
  <c r="J16" i="82" s="1"/>
  <c r="J23" i="82" s="1"/>
  <c r="I14" i="82"/>
  <c r="I16" i="82" s="1"/>
  <c r="H14" i="82"/>
  <c r="H16" i="82" s="1"/>
  <c r="H23" i="82" s="1"/>
  <c r="G14" i="82"/>
  <c r="F14" i="82"/>
  <c r="Y13" i="82"/>
  <c r="X13" i="82"/>
  <c r="Y12" i="82"/>
  <c r="X12" i="82"/>
  <c r="Y11" i="82"/>
  <c r="X11" i="82"/>
  <c r="N10" i="82"/>
  <c r="G10" i="82"/>
  <c r="Y9" i="82"/>
  <c r="X9" i="82"/>
  <c r="W8" i="82"/>
  <c r="W10" i="82" s="1"/>
  <c r="V8" i="82"/>
  <c r="V10" i="82" s="1"/>
  <c r="U8" i="82"/>
  <c r="U10" i="82" s="1"/>
  <c r="T8" i="82"/>
  <c r="T10" i="82" s="1"/>
  <c r="S8" i="82"/>
  <c r="S10" i="82" s="1"/>
  <c r="R8" i="82"/>
  <c r="R10" i="82" s="1"/>
  <c r="Q8" i="82"/>
  <c r="Q10" i="82" s="1"/>
  <c r="Q30" i="82" s="1"/>
  <c r="P8" i="82"/>
  <c r="P10" i="82" s="1"/>
  <c r="O8" i="82"/>
  <c r="O10" i="82" s="1"/>
  <c r="N8" i="82"/>
  <c r="M8" i="82"/>
  <c r="Y8" i="82" s="1"/>
  <c r="L8" i="82"/>
  <c r="L10" i="82" s="1"/>
  <c r="K8" i="82"/>
  <c r="K10" i="82" s="1"/>
  <c r="J8" i="82"/>
  <c r="J10" i="82" s="1"/>
  <c r="I8" i="82"/>
  <c r="I10" i="82" s="1"/>
  <c r="H8" i="82"/>
  <c r="H10" i="82" s="1"/>
  <c r="G8" i="82"/>
  <c r="F8" i="82"/>
  <c r="Y7" i="82"/>
  <c r="X7" i="82"/>
  <c r="Y6" i="82"/>
  <c r="X6" i="82"/>
  <c r="Y5" i="82"/>
  <c r="X5" i="82"/>
  <c r="M30" i="83" l="1"/>
  <c r="R30" i="83"/>
  <c r="I23" i="83"/>
  <c r="I30" i="83" s="1"/>
  <c r="Q30" i="83"/>
  <c r="V30" i="83"/>
  <c r="Y8" i="83"/>
  <c r="P30" i="83"/>
  <c r="F22" i="83"/>
  <c r="X14" i="83"/>
  <c r="J30" i="83"/>
  <c r="F10" i="83"/>
  <c r="X10" i="83" s="1"/>
  <c r="O23" i="83"/>
  <c r="O30" i="83" s="1"/>
  <c r="W23" i="83"/>
  <c r="W30" i="83" s="1"/>
  <c r="L23" i="82"/>
  <c r="L30" i="82" s="1"/>
  <c r="G23" i="82"/>
  <c r="Y14" i="82"/>
  <c r="S23" i="82"/>
  <c r="S30" i="82" s="1"/>
  <c r="X8" i="82"/>
  <c r="X14" i="82"/>
  <c r="V23" i="82"/>
  <c r="Y20" i="82"/>
  <c r="M23" i="82"/>
  <c r="L30" i="83"/>
  <c r="X29" i="83"/>
  <c r="S23" i="83"/>
  <c r="S30" i="83" s="1"/>
  <c r="X22" i="83"/>
  <c r="Y29" i="83"/>
  <c r="H23" i="83"/>
  <c r="H30" i="83" s="1"/>
  <c r="T23" i="83"/>
  <c r="T30" i="83" s="1"/>
  <c r="N23" i="83"/>
  <c r="N30" i="83" s="1"/>
  <c r="X16" i="83"/>
  <c r="G10" i="83"/>
  <c r="G16" i="83"/>
  <c r="G22" i="83"/>
  <c r="Y22" i="83" s="1"/>
  <c r="K29" i="83"/>
  <c r="K30" i="83" s="1"/>
  <c r="X27" i="83"/>
  <c r="F23" i="83"/>
  <c r="F30" i="83" s="1"/>
  <c r="T30" i="82"/>
  <c r="I23" i="82"/>
  <c r="U23" i="82"/>
  <c r="R30" i="82"/>
  <c r="I30" i="82"/>
  <c r="U30" i="82"/>
  <c r="J30" i="82"/>
  <c r="V30" i="82"/>
  <c r="W23" i="82"/>
  <c r="W30" i="82"/>
  <c r="Y22" i="82"/>
  <c r="N23" i="82"/>
  <c r="N30" i="82" s="1"/>
  <c r="Y23" i="82"/>
  <c r="X29" i="82"/>
  <c r="Y29" i="82"/>
  <c r="O30" i="82"/>
  <c r="H30" i="82"/>
  <c r="P23" i="82"/>
  <c r="P30" i="82" s="1"/>
  <c r="F10" i="82"/>
  <c r="F16" i="82"/>
  <c r="F22" i="82"/>
  <c r="X22" i="82" s="1"/>
  <c r="X27" i="82"/>
  <c r="K16" i="82"/>
  <c r="K23" i="82" s="1"/>
  <c r="K30" i="82" s="1"/>
  <c r="Y27" i="82"/>
  <c r="G30" i="82"/>
  <c r="M10" i="82"/>
  <c r="M30" i="82" s="1"/>
  <c r="Y16" i="82"/>
  <c r="X30" i="83" l="1"/>
  <c r="Y10" i="83"/>
  <c r="X23" i="83"/>
  <c r="G23" i="83"/>
  <c r="Y23" i="83" s="1"/>
  <c r="Y16" i="83"/>
  <c r="Y30" i="82"/>
  <c r="X10" i="82"/>
  <c r="Y10" i="82"/>
  <c r="X16" i="82"/>
  <c r="F23" i="82"/>
  <c r="X23" i="82" s="1"/>
  <c r="G30" i="83" l="1"/>
  <c r="Y30" i="83" s="1"/>
  <c r="F30" i="82"/>
  <c r="X30" i="82" s="1"/>
  <c r="I12" i="81" l="1"/>
  <c r="H12" i="81"/>
  <c r="G12" i="81"/>
  <c r="F12" i="81"/>
  <c r="E12" i="81"/>
  <c r="D12" i="81"/>
  <c r="K29" i="79"/>
  <c r="J29" i="79"/>
  <c r="F29" i="79"/>
  <c r="Q28" i="79"/>
  <c r="P28" i="79"/>
  <c r="O27" i="79"/>
  <c r="O29" i="79" s="1"/>
  <c r="N27" i="79"/>
  <c r="N29" i="79" s="1"/>
  <c r="M27" i="79"/>
  <c r="M29" i="79" s="1"/>
  <c r="L27" i="79"/>
  <c r="L29" i="79" s="1"/>
  <c r="K27" i="79"/>
  <c r="J27" i="79"/>
  <c r="I27" i="79"/>
  <c r="Q27" i="79" s="1"/>
  <c r="H27" i="79"/>
  <c r="G27" i="79"/>
  <c r="G29" i="79" s="1"/>
  <c r="F27" i="79"/>
  <c r="Q26" i="79"/>
  <c r="P26" i="79"/>
  <c r="Q25" i="79"/>
  <c r="P25" i="79"/>
  <c r="Q24" i="79"/>
  <c r="P24" i="79"/>
  <c r="N22" i="79"/>
  <c r="G22" i="79"/>
  <c r="Q21" i="79"/>
  <c r="P21" i="79"/>
  <c r="O20" i="79"/>
  <c r="O22" i="79" s="1"/>
  <c r="N20" i="79"/>
  <c r="M20" i="79"/>
  <c r="M22" i="79" s="1"/>
  <c r="L20" i="79"/>
  <c r="L22" i="79" s="1"/>
  <c r="K20" i="79"/>
  <c r="K22" i="79" s="1"/>
  <c r="J20" i="79"/>
  <c r="J22" i="79" s="1"/>
  <c r="I20" i="79"/>
  <c r="I22" i="79" s="1"/>
  <c r="H20" i="79"/>
  <c r="G20" i="79"/>
  <c r="F20" i="79"/>
  <c r="F22" i="79" s="1"/>
  <c r="Q19" i="79"/>
  <c r="P19" i="79"/>
  <c r="Q18" i="79"/>
  <c r="P18" i="79"/>
  <c r="Q17" i="79"/>
  <c r="P17" i="79"/>
  <c r="O16" i="79"/>
  <c r="N16" i="79"/>
  <c r="J16" i="79"/>
  <c r="J23" i="79" s="1"/>
  <c r="Q15" i="79"/>
  <c r="P15" i="79"/>
  <c r="P14" i="79"/>
  <c r="O14" i="79"/>
  <c r="N14" i="79"/>
  <c r="M14" i="79"/>
  <c r="M16" i="79" s="1"/>
  <c r="L14" i="79"/>
  <c r="L16" i="79" s="1"/>
  <c r="L23" i="79" s="1"/>
  <c r="K14" i="79"/>
  <c r="K16" i="79" s="1"/>
  <c r="K23" i="79" s="1"/>
  <c r="J14" i="79"/>
  <c r="I14" i="79"/>
  <c r="I16" i="79" s="1"/>
  <c r="I23" i="79" s="1"/>
  <c r="H14" i="79"/>
  <c r="H16" i="79" s="1"/>
  <c r="G14" i="79"/>
  <c r="G16" i="79" s="1"/>
  <c r="F14" i="79"/>
  <c r="F16" i="79" s="1"/>
  <c r="Q13" i="79"/>
  <c r="P13" i="79"/>
  <c r="Q12" i="79"/>
  <c r="P12" i="79"/>
  <c r="Q11" i="79"/>
  <c r="P11" i="79"/>
  <c r="K10" i="79"/>
  <c r="Q9" i="79"/>
  <c r="P9" i="79"/>
  <c r="O8" i="79"/>
  <c r="O10" i="79" s="1"/>
  <c r="N8" i="79"/>
  <c r="N10" i="79" s="1"/>
  <c r="M8" i="79"/>
  <c r="M10" i="79" s="1"/>
  <c r="L8" i="79"/>
  <c r="L10" i="79" s="1"/>
  <c r="K8" i="79"/>
  <c r="J8" i="79"/>
  <c r="J10" i="79" s="1"/>
  <c r="I8" i="79"/>
  <c r="H8" i="79"/>
  <c r="G8" i="79"/>
  <c r="G10" i="79" s="1"/>
  <c r="F8" i="79"/>
  <c r="F10" i="79" s="1"/>
  <c r="Q7" i="79"/>
  <c r="P7" i="79"/>
  <c r="Q6" i="79"/>
  <c r="P6" i="79"/>
  <c r="Q5" i="79"/>
  <c r="P5" i="79"/>
  <c r="P20" i="79" l="1"/>
  <c r="P8" i="79"/>
  <c r="N23" i="79"/>
  <c r="O23" i="79"/>
  <c r="L30" i="79"/>
  <c r="P27" i="79"/>
  <c r="Q8" i="79"/>
  <c r="Q14" i="79"/>
  <c r="J30" i="79"/>
  <c r="M23" i="79"/>
  <c r="M30" i="79"/>
  <c r="O30" i="79"/>
  <c r="K30" i="79"/>
  <c r="N30" i="79"/>
  <c r="F23" i="79"/>
  <c r="F30" i="79" s="1"/>
  <c r="P16" i="79"/>
  <c r="Q16" i="79"/>
  <c r="G23" i="79"/>
  <c r="Q22" i="79"/>
  <c r="H22" i="79"/>
  <c r="P22" i="79" s="1"/>
  <c r="Q20" i="79"/>
  <c r="G30" i="79"/>
  <c r="H10" i="79"/>
  <c r="H29" i="79"/>
  <c r="P29" i="79" s="1"/>
  <c r="I10" i="79"/>
  <c r="I29" i="79"/>
  <c r="Q29" i="79" s="1"/>
  <c r="I30" i="79" l="1"/>
  <c r="H23" i="79"/>
  <c r="H30" i="79" s="1"/>
  <c r="P30" i="79" s="1"/>
  <c r="Q30" i="79"/>
  <c r="Q23" i="79"/>
  <c r="P23" i="79"/>
  <c r="Q10" i="79"/>
  <c r="P10" i="79"/>
  <c r="G6" i="46" l="1"/>
  <c r="G5" i="46"/>
  <c r="G8" i="46" l="1"/>
  <c r="G7" i="46"/>
</calcChain>
</file>

<file path=xl/sharedStrings.xml><?xml version="1.0" encoding="utf-8"?>
<sst xmlns="http://schemas.openxmlformats.org/spreadsheetml/2006/main" count="978" uniqueCount="304">
  <si>
    <t>[작성요령]</t>
    <phoneticPr fontId="78" type="noConversion"/>
  </si>
  <si>
    <t>전화번호</t>
    <phoneticPr fontId="78" type="noConversion"/>
  </si>
  <si>
    <t>(단위 : 개, 건, 원, %)</t>
    <phoneticPr fontId="78" type="noConversion"/>
  </si>
  <si>
    <t xml:space="preserve">대부중개계약 상대업자수 </t>
    <phoneticPr fontId="78" type="noConversion"/>
  </si>
  <si>
    <t>대부중개 건수</t>
    <phoneticPr fontId="78" type="noConversion"/>
  </si>
  <si>
    <t>중개수수료율</t>
    <phoneticPr fontId="78" type="noConversion"/>
  </si>
  <si>
    <t>I-1. 회사개황</t>
    <phoneticPr fontId="78" type="noConversion"/>
  </si>
  <si>
    <t>항    목</t>
    <phoneticPr fontId="78" type="noConversion"/>
  </si>
  <si>
    <t>내             용</t>
    <phoneticPr fontId="78" type="noConversion"/>
  </si>
  <si>
    <t>[작성요령]</t>
    <phoneticPr fontId="78" type="noConversion"/>
  </si>
  <si>
    <t>직위</t>
    <phoneticPr fontId="78" type="noConversion"/>
  </si>
  <si>
    <t>성명</t>
    <phoneticPr fontId="78" type="noConversion"/>
  </si>
  <si>
    <t>구   분</t>
    <phoneticPr fontId="78" type="noConversion"/>
  </si>
  <si>
    <t>A</t>
    <phoneticPr fontId="78" type="noConversion"/>
  </si>
  <si>
    <t>상호</t>
    <phoneticPr fontId="78" type="noConversion"/>
  </si>
  <si>
    <t>B</t>
    <phoneticPr fontId="78" type="noConversion"/>
  </si>
  <si>
    <t>등록지역</t>
    <phoneticPr fontId="78" type="noConversion"/>
  </si>
  <si>
    <t>C</t>
    <phoneticPr fontId="78" type="noConversion"/>
  </si>
  <si>
    <t>등록일자(최초등록)</t>
    <phoneticPr fontId="78" type="noConversion"/>
  </si>
  <si>
    <t>D</t>
    <phoneticPr fontId="78" type="noConversion"/>
  </si>
  <si>
    <t>등록일자(최종갱신)</t>
    <phoneticPr fontId="78" type="noConversion"/>
  </si>
  <si>
    <t>대부업∙대부중개업 등록번호(최초등록)</t>
    <phoneticPr fontId="78" type="noConversion"/>
  </si>
  <si>
    <t xml:space="preserve">대부업 : </t>
    <phoneticPr fontId="78" type="noConversion"/>
  </si>
  <si>
    <t xml:space="preserve">대부중개업 : </t>
    <phoneticPr fontId="78" type="noConversion"/>
  </si>
  <si>
    <t>대부업∙대부중개업 등록번호(최종갱신)</t>
    <phoneticPr fontId="78" type="noConversion"/>
  </si>
  <si>
    <t>G</t>
    <phoneticPr fontId="78" type="noConversion"/>
  </si>
  <si>
    <t>법인 등록번호</t>
    <phoneticPr fontId="78" type="noConversion"/>
  </si>
  <si>
    <t>H</t>
    <phoneticPr fontId="78" type="noConversion"/>
  </si>
  <si>
    <t>사업자 등록번호</t>
    <phoneticPr fontId="78" type="noConversion"/>
  </si>
  <si>
    <t>I</t>
    <phoneticPr fontId="78" type="noConversion"/>
  </si>
  <si>
    <t>회사형태</t>
    <phoneticPr fontId="78" type="noConversion"/>
  </si>
  <si>
    <t>주식회사/유한회사/합자회사/합명회사</t>
    <phoneticPr fontId="78" type="noConversion"/>
  </si>
  <si>
    <t>J</t>
    <phoneticPr fontId="78" type="noConversion"/>
  </si>
  <si>
    <t>기업공개구분</t>
    <phoneticPr fontId="78" type="noConversion"/>
  </si>
  <si>
    <t>유가증권상장/코스닥상장/코넥스상장/기타</t>
    <phoneticPr fontId="78" type="noConversion"/>
  </si>
  <si>
    <t>K</t>
    <phoneticPr fontId="78" type="noConversion"/>
  </si>
  <si>
    <t>기업공개일자</t>
    <phoneticPr fontId="78" type="noConversion"/>
  </si>
  <si>
    <t>L</t>
    <phoneticPr fontId="78" type="noConversion"/>
  </si>
  <si>
    <t>소속기업집단명</t>
    <phoneticPr fontId="78" type="noConversion"/>
  </si>
  <si>
    <t>M</t>
    <phoneticPr fontId="78" type="noConversion"/>
  </si>
  <si>
    <t>최대주주가 여신금융기관인 경우 해당 기관명</t>
    <phoneticPr fontId="78" type="noConversion"/>
  </si>
  <si>
    <t>N</t>
    <phoneticPr fontId="78" type="noConversion"/>
  </si>
  <si>
    <t>대표자</t>
    <phoneticPr fontId="78" type="noConversion"/>
  </si>
  <si>
    <t>O</t>
    <phoneticPr fontId="78" type="noConversion"/>
  </si>
  <si>
    <t>대부업 등록내용</t>
    <phoneticPr fontId="78" type="noConversion"/>
  </si>
  <si>
    <t>대부/대부중개/대부 및 대부중개</t>
    <phoneticPr fontId="78" type="noConversion"/>
  </si>
  <si>
    <t>P</t>
    <phoneticPr fontId="78" type="noConversion"/>
  </si>
  <si>
    <t>사업내용</t>
    <phoneticPr fontId="78" type="noConversion"/>
  </si>
  <si>
    <t>대부전문/대부중개/대부채권매입추심(중복기재가능)</t>
    <phoneticPr fontId="78" type="noConversion"/>
  </si>
  <si>
    <t>Q</t>
    <phoneticPr fontId="78" type="noConversion"/>
  </si>
  <si>
    <t>우편번호</t>
    <phoneticPr fontId="78" type="noConversion"/>
  </si>
  <si>
    <t>R</t>
    <phoneticPr fontId="78" type="noConversion"/>
  </si>
  <si>
    <t>본점주소</t>
    <phoneticPr fontId="78" type="noConversion"/>
  </si>
  <si>
    <t>S</t>
    <phoneticPr fontId="78" type="noConversion"/>
  </si>
  <si>
    <t>대표 전화번호</t>
    <phoneticPr fontId="78" type="noConversion"/>
  </si>
  <si>
    <t>T</t>
    <phoneticPr fontId="78" type="noConversion"/>
  </si>
  <si>
    <t>대표 fax번호</t>
    <phoneticPr fontId="78" type="noConversion"/>
  </si>
  <si>
    <t>U</t>
    <phoneticPr fontId="78" type="noConversion"/>
  </si>
  <si>
    <t>영업유무</t>
    <phoneticPr fontId="78" type="noConversion"/>
  </si>
  <si>
    <t>V</t>
    <phoneticPr fontId="78" type="noConversion"/>
  </si>
  <si>
    <t>결산월</t>
    <phoneticPr fontId="78" type="noConversion"/>
  </si>
  <si>
    <t>W</t>
    <phoneticPr fontId="78" type="noConversion"/>
  </si>
  <si>
    <t>회계전산시스템</t>
    <phoneticPr fontId="78" type="noConversion"/>
  </si>
  <si>
    <t>X</t>
    <phoneticPr fontId="78" type="noConversion"/>
  </si>
  <si>
    <t>Y</t>
    <phoneticPr fontId="78" type="noConversion"/>
  </si>
  <si>
    <t>금융위 등록 구분</t>
    <phoneticPr fontId="78" type="noConversion"/>
  </si>
  <si>
    <t>(아래 5가지 항목에 대하여 해당, 미해당 여부를 선택)</t>
    <phoneticPr fontId="78" type="noConversion"/>
  </si>
  <si>
    <t>① 둘 이상의 특별시·광역시·특별자치시·도·특별자치도에 영업소를 설치</t>
    <phoneticPr fontId="78" type="noConversion"/>
  </si>
  <si>
    <t>해당/미해당</t>
    <phoneticPr fontId="78" type="noConversion"/>
  </si>
  <si>
    <t>② 대부채권매입추심 영업을 영위 중</t>
    <phoneticPr fontId="78" type="noConversion"/>
  </si>
  <si>
    <t>③「독점규제 및 공정거래에 관한 법률」 제14조에 따라 지정된 상호출자제한 기업집단에 포함</t>
    <phoneticPr fontId="78" type="noConversion"/>
  </si>
  <si>
    <t>④ 최대주주가 여신금융기관에 해당</t>
    <phoneticPr fontId="78" type="noConversion"/>
  </si>
  <si>
    <r>
      <t>1. "</t>
    </r>
    <r>
      <rPr>
        <b/>
        <sz val="10"/>
        <rFont val="맑은 고딕"/>
        <family val="3"/>
        <charset val="129"/>
      </rPr>
      <t>상호</t>
    </r>
    <r>
      <rPr>
        <sz val="10"/>
        <rFont val="맑은 고딕"/>
        <family val="3"/>
        <charset val="129"/>
      </rPr>
      <t>(A)"는 등록신청서상 상호를 기재</t>
    </r>
    <phoneticPr fontId="78" type="noConversion"/>
  </si>
  <si>
    <t xml:space="preserve">   상호출자제한기업집단에 속할 경우 소속기업집단명을 기재</t>
    <phoneticPr fontId="78" type="noConversion"/>
  </si>
  <si>
    <t xml:space="preserve">    ① 'Ⅰ-3.지점등록현황' 기재 내역에 따라 선택</t>
    <phoneticPr fontId="78" type="noConversion"/>
  </si>
  <si>
    <t xml:space="preserve">    ② 제출대상월말 현재 매입채권을 보유한 대부업자가 해당하며 'Ⅳ-5.매입채권 현황'을 반드시 기재</t>
    <phoneticPr fontId="78" type="noConversion"/>
  </si>
  <si>
    <t xml:space="preserve">    ③ 공정거래위원회가 지정한 상호출자제한 기업집단</t>
    <phoneticPr fontId="78" type="noConversion"/>
  </si>
  <si>
    <r>
      <t>2. "</t>
    </r>
    <r>
      <rPr>
        <b/>
        <sz val="10"/>
        <rFont val="맑은 고딕"/>
        <family val="3"/>
        <charset val="129"/>
      </rPr>
      <t>등록지역</t>
    </r>
    <r>
      <rPr>
        <sz val="10"/>
        <rFont val="맑은 고딕"/>
        <family val="3"/>
        <charset val="129"/>
      </rPr>
      <t>(B)"은 서울, 부산, 대구, 인천, 대전, 광주, 울산, 경기, 경남, 경북, 전남, 전북, 충남, 충북, 강원, 제주, 세종으로 구분</t>
    </r>
    <phoneticPr fontId="78" type="noConversion"/>
  </si>
  <si>
    <r>
      <t>3. "</t>
    </r>
    <r>
      <rPr>
        <b/>
        <sz val="10"/>
        <rFont val="맑은 고딕"/>
        <family val="3"/>
        <charset val="129"/>
      </rPr>
      <t>등록일자</t>
    </r>
    <r>
      <rPr>
        <sz val="10"/>
        <rFont val="맑은 고딕"/>
        <family val="3"/>
        <charset val="129"/>
      </rPr>
      <t>(C, D)"는 (yyyymmdd) 양식으로 작성, 예) 19980826</t>
    </r>
    <phoneticPr fontId="78" type="noConversion"/>
  </si>
  <si>
    <r>
      <rPr>
        <sz val="10"/>
        <rFont val="맑은 고딕"/>
        <family val="3"/>
        <charset val="129"/>
      </rPr>
      <t>4. "</t>
    </r>
    <r>
      <rPr>
        <b/>
        <sz val="10"/>
        <rFont val="맑은 고딕"/>
        <family val="3"/>
        <charset val="129"/>
      </rPr>
      <t>대부업∙대부중개업 등록번호</t>
    </r>
    <r>
      <rPr>
        <sz val="10"/>
        <rFont val="맑은 고딕"/>
        <family val="3"/>
        <charset val="129"/>
      </rPr>
      <t>(E, F)"는 대부업 및 대부중개업을 모두 등록한 경우 각각 구분 기재</t>
    </r>
    <phoneticPr fontId="78" type="noConversion"/>
  </si>
  <si>
    <r>
      <t xml:space="preserve">5. </t>
    </r>
    <r>
      <rPr>
        <b/>
        <sz val="10"/>
        <rFont val="맑은 고딕"/>
        <family val="3"/>
        <charset val="129"/>
      </rPr>
      <t>"회사형태</t>
    </r>
    <r>
      <rPr>
        <sz val="10"/>
        <rFont val="맑은 고딕"/>
        <family val="3"/>
        <charset val="129"/>
      </rPr>
      <t>(I)"는 상법상 주식회사, 유한회사, 합자회사, 합명회사로 구분</t>
    </r>
    <phoneticPr fontId="78" type="noConversion"/>
  </si>
  <si>
    <r>
      <t>6. "</t>
    </r>
    <r>
      <rPr>
        <b/>
        <sz val="10"/>
        <rFont val="맑은 고딕"/>
        <family val="3"/>
        <charset val="129"/>
      </rPr>
      <t>기업공개구분</t>
    </r>
    <r>
      <rPr>
        <sz val="10"/>
        <rFont val="맑은 고딕"/>
        <family val="3"/>
        <charset val="129"/>
      </rPr>
      <t>(J)"은 유가증권상장, 코스닥상장, 코넥스상장, 기타로 구분</t>
    </r>
    <phoneticPr fontId="78" type="noConversion"/>
  </si>
  <si>
    <r>
      <t>7. "</t>
    </r>
    <r>
      <rPr>
        <b/>
        <sz val="10"/>
        <rFont val="맑은 고딕"/>
        <family val="3"/>
        <charset val="129"/>
      </rPr>
      <t>소속기업집단명</t>
    </r>
    <r>
      <rPr>
        <sz val="10"/>
        <rFont val="맑은 고딕"/>
        <family val="3"/>
        <charset val="129"/>
      </rPr>
      <t xml:space="preserve">(L)"은 대부업자가 「독점규제 및 공정거래에 관한 법률」제14조의 따라 공정거래위원회가 지정하는 </t>
    </r>
    <phoneticPr fontId="78" type="noConversion"/>
  </si>
  <si>
    <r>
      <t>9. "</t>
    </r>
    <r>
      <rPr>
        <b/>
        <sz val="10"/>
        <rFont val="맑은 고딕"/>
        <family val="3"/>
        <charset val="129"/>
      </rPr>
      <t>대부업 등록내용</t>
    </r>
    <r>
      <rPr>
        <sz val="10"/>
        <rFont val="맑은 고딕"/>
        <family val="3"/>
        <charset val="129"/>
      </rPr>
      <t>(N)"은 대부업과 대부중개업을 모두 등록한 경우 대부 및 대부중개를 선택</t>
    </r>
    <phoneticPr fontId="78" type="noConversion"/>
  </si>
  <si>
    <r>
      <t>10. "</t>
    </r>
    <r>
      <rPr>
        <b/>
        <sz val="10"/>
        <rFont val="맑은 고딕"/>
        <family val="3"/>
        <charset val="129"/>
      </rPr>
      <t>사업내용</t>
    </r>
    <r>
      <rPr>
        <sz val="10"/>
        <rFont val="맑은 고딕"/>
        <family val="3"/>
        <charset val="129"/>
      </rPr>
      <t>(O)"은 대부업자가 영위하는 영업을 중복선택</t>
    </r>
    <phoneticPr fontId="78" type="noConversion"/>
  </si>
  <si>
    <r>
      <t>11. "</t>
    </r>
    <r>
      <rPr>
        <b/>
        <sz val="10"/>
        <rFont val="맑은 고딕"/>
        <family val="3"/>
        <charset val="129"/>
      </rPr>
      <t>영업유무</t>
    </r>
    <r>
      <rPr>
        <sz val="10"/>
        <rFont val="맑은 고딕"/>
        <family val="3"/>
        <charset val="129"/>
      </rPr>
      <t>(U)"는  작성 대상기간중 대부, 대부중개 또는 대부채권을 양도받아 추심 등 영업 실적 및 대부나 중개를
    위한 광고 실적 유무 등을 기초로 영업중, 영업중단 등으로 표시</t>
    </r>
    <phoneticPr fontId="78" type="noConversion"/>
  </si>
  <si>
    <r>
      <t>12. "</t>
    </r>
    <r>
      <rPr>
        <b/>
        <sz val="10"/>
        <rFont val="맑은 고딕"/>
        <family val="3"/>
        <charset val="129"/>
      </rPr>
      <t>결산월</t>
    </r>
    <r>
      <rPr>
        <sz val="10"/>
        <rFont val="맑은 고딕"/>
        <family val="3"/>
        <charset val="129"/>
      </rPr>
      <t>(V)"은 회계연도 종료 기준월을 기재</t>
    </r>
    <phoneticPr fontId="78" type="noConversion"/>
  </si>
  <si>
    <r>
      <t>14. "</t>
    </r>
    <r>
      <rPr>
        <b/>
        <sz val="10"/>
        <rFont val="맑은 고딕"/>
        <family val="3"/>
        <charset val="129"/>
      </rPr>
      <t>대부영업현황</t>
    </r>
    <r>
      <rPr>
        <sz val="10"/>
        <rFont val="맑은 고딕"/>
        <family val="3"/>
        <charset val="129"/>
      </rPr>
      <t>(Y)"은 제출대상월말 기준으로 각 항목별 해당, 미해당 여부를 선택</t>
    </r>
    <phoneticPr fontId="78" type="noConversion"/>
  </si>
  <si>
    <r>
      <t xml:space="preserve">    </t>
    </r>
    <r>
      <rPr>
        <sz val="10"/>
        <rFont val="맑은 고딕"/>
        <family val="3"/>
        <charset val="129"/>
      </rPr>
      <t>⑤ 직전 사업연도말(결산월말) 기준 재무상태표를 기준으로 산정하며, 대부잔액은 매입채권을 제외한 금액을 말함</t>
    </r>
    <phoneticPr fontId="78" type="noConversion"/>
  </si>
  <si>
    <t>생년월일</t>
    <phoneticPr fontId="78" type="noConversion"/>
  </si>
  <si>
    <t>등기여부</t>
    <phoneticPr fontId="78" type="noConversion"/>
  </si>
  <si>
    <t>담당업무</t>
    <phoneticPr fontId="78" type="noConversion"/>
  </si>
  <si>
    <t>최초 선임일</t>
    <phoneticPr fontId="78" type="noConversion"/>
  </si>
  <si>
    <t>선임 구분</t>
    <phoneticPr fontId="78" type="noConversion"/>
  </si>
  <si>
    <t>현직 선임일</t>
    <phoneticPr fontId="78" type="noConversion"/>
  </si>
  <si>
    <t>임기 만료일</t>
    <phoneticPr fontId="78" type="noConversion"/>
  </si>
  <si>
    <t>상근 여부</t>
    <phoneticPr fontId="78" type="noConversion"/>
  </si>
  <si>
    <t>FAX</t>
    <phoneticPr fontId="78" type="noConversion"/>
  </si>
  <si>
    <t>대주주와의 관계</t>
    <phoneticPr fontId="78" type="noConversion"/>
  </si>
  <si>
    <t>2. 일자는 YYYYMMDD 형식으로 기재</t>
    <phoneticPr fontId="78" type="noConversion"/>
  </si>
  <si>
    <r>
      <t>3. "</t>
    </r>
    <r>
      <rPr>
        <b/>
        <sz val="10"/>
        <rFont val="맑은 고딕"/>
        <family val="3"/>
        <charset val="129"/>
      </rPr>
      <t>등기여부</t>
    </r>
    <r>
      <rPr>
        <sz val="10"/>
        <rFont val="맑은 고딕"/>
        <family val="3"/>
        <charset val="129"/>
      </rPr>
      <t xml:space="preserve">"는 등기부상 등재여부를 등기, 비등기로 구분 </t>
    </r>
    <phoneticPr fontId="78" type="noConversion"/>
  </si>
  <si>
    <r>
      <t>4. "</t>
    </r>
    <r>
      <rPr>
        <b/>
        <sz val="10"/>
        <rFont val="맑은 고딕"/>
        <family val="3"/>
        <charset val="129"/>
      </rPr>
      <t>직위</t>
    </r>
    <r>
      <rPr>
        <sz val="10"/>
        <rFont val="맑은 고딕"/>
        <family val="3"/>
        <charset val="129"/>
      </rPr>
      <t>"는 대표이사, 감사, 이사, 보호감시인 등으로 구분</t>
    </r>
    <phoneticPr fontId="78" type="noConversion"/>
  </si>
  <si>
    <r>
      <t>5. "</t>
    </r>
    <r>
      <rPr>
        <b/>
        <sz val="10"/>
        <rFont val="맑은 고딕"/>
        <family val="3"/>
        <charset val="129"/>
      </rPr>
      <t>선임구분</t>
    </r>
    <r>
      <rPr>
        <sz val="10"/>
        <rFont val="맑은 고딕"/>
        <family val="3"/>
        <charset val="129"/>
      </rPr>
      <t>"은 초임, 중임으로 구분</t>
    </r>
    <phoneticPr fontId="78" type="noConversion"/>
  </si>
  <si>
    <r>
      <t>6. "</t>
    </r>
    <r>
      <rPr>
        <b/>
        <sz val="10"/>
        <rFont val="맑은 고딕"/>
        <family val="3"/>
        <charset val="129"/>
      </rPr>
      <t>상근여부</t>
    </r>
    <r>
      <rPr>
        <sz val="10"/>
        <rFont val="맑은 고딕"/>
        <family val="3"/>
        <charset val="129"/>
      </rPr>
      <t>"는 상근, 비상근(사외이사 포함)으로 구분하여 기재</t>
    </r>
    <phoneticPr fontId="78" type="noConversion"/>
  </si>
  <si>
    <r>
      <t>7. "</t>
    </r>
    <r>
      <rPr>
        <b/>
        <sz val="10"/>
        <rFont val="맑은 고딕"/>
        <family val="3"/>
        <charset val="129"/>
      </rPr>
      <t>전화번호</t>
    </r>
    <r>
      <rPr>
        <sz val="10"/>
        <rFont val="맑은 고딕"/>
        <family val="3"/>
        <charset val="129"/>
      </rPr>
      <t>" 및 "</t>
    </r>
    <r>
      <rPr>
        <b/>
        <sz val="10"/>
        <rFont val="맑은 고딕"/>
        <family val="3"/>
        <charset val="129"/>
      </rPr>
      <t>FAX번호</t>
    </r>
    <r>
      <rPr>
        <sz val="10"/>
        <rFont val="맑은 고딕"/>
        <family val="3"/>
        <charset val="129"/>
      </rPr>
      <t>"는 직통전화번호 등을 기재</t>
    </r>
    <phoneticPr fontId="78" type="noConversion"/>
  </si>
  <si>
    <r>
      <t>8. "</t>
    </r>
    <r>
      <rPr>
        <b/>
        <sz val="10"/>
        <rFont val="맑은 고딕"/>
        <family val="3"/>
        <charset val="129"/>
      </rPr>
      <t>대주주와의 관계</t>
    </r>
    <r>
      <rPr>
        <sz val="10"/>
        <rFont val="맑은 고딕"/>
        <family val="3"/>
        <charset val="129"/>
      </rPr>
      <t xml:space="preserve">"는  “본인”, “대주주 ○○○의 부”, “대주주 (주)○○의 임원”, “임원 ○○○의 배우자” 등으로 </t>
    </r>
    <phoneticPr fontId="78" type="noConversion"/>
  </si>
  <si>
    <t xml:space="preserve">   구체적인 관계를 기재</t>
    <phoneticPr fontId="78" type="noConversion"/>
  </si>
  <si>
    <t>경력(최종)</t>
    <phoneticPr fontId="78" type="noConversion"/>
  </si>
  <si>
    <t>경력(최종-1)</t>
    <phoneticPr fontId="78" type="noConversion"/>
  </si>
  <si>
    <t>회사명</t>
    <phoneticPr fontId="78" type="noConversion"/>
  </si>
  <si>
    <t>입사일</t>
    <phoneticPr fontId="78" type="noConversion"/>
  </si>
  <si>
    <t>퇴사일</t>
    <phoneticPr fontId="78" type="noConversion"/>
  </si>
  <si>
    <t>상근
여부</t>
    <phoneticPr fontId="78" type="noConversion"/>
  </si>
  <si>
    <t>E</t>
    <phoneticPr fontId="78" type="noConversion"/>
  </si>
  <si>
    <t>F</t>
    <phoneticPr fontId="78" type="noConversion"/>
  </si>
  <si>
    <t>4. '직접 중개'는 대부 신청인으로 부터 직접 영업하여 대부업자 및 상위 대부중개업자에게 중개한 실적을 의미</t>
    <phoneticPr fontId="78" type="noConversion"/>
  </si>
  <si>
    <t>직접 중개</t>
    <phoneticPr fontId="78" type="noConversion"/>
  </si>
  <si>
    <t>연결 중개</t>
    <phoneticPr fontId="78" type="noConversion"/>
  </si>
  <si>
    <t>1. 대부중개 현황은 대부중개업자의 영업실적을 파악하기 위한 것임(대부업자가 대부중개업자로부터 중개를 받아 취급한 대출실적이 아님)</t>
    <phoneticPr fontId="78" type="noConversion"/>
  </si>
  <si>
    <t>2. 대부중개건수 및 금액은 해당 업자가 제3의 대부업자 및 상위 대부중개업자에 대부를 중개한 건수 및 실제 대출이 실행된 금액을 의미</t>
    <phoneticPr fontId="78" type="noConversion"/>
  </si>
  <si>
    <t>3. 대부중개계약 상대업자수는 직접 위탁계약을 체결한 대부업자 및 상위 대부중개업자의 수를 의미(하위 대부중개업자 수가 아님)</t>
    <phoneticPr fontId="78" type="noConversion"/>
  </si>
  <si>
    <t>대부중개 금액</t>
    <phoneticPr fontId="78" type="noConversion"/>
  </si>
  <si>
    <t>중개수수료수입</t>
    <phoneticPr fontId="78" type="noConversion"/>
  </si>
  <si>
    <t>합  계</t>
    <phoneticPr fontId="78" type="noConversion"/>
  </si>
  <si>
    <r>
      <t>3. "</t>
    </r>
    <r>
      <rPr>
        <b/>
        <sz val="10"/>
        <rFont val="맑은 고딕"/>
        <family val="3"/>
        <charset val="129"/>
      </rPr>
      <t>경력사항</t>
    </r>
    <r>
      <rPr>
        <sz val="10"/>
        <rFont val="맑은 고딕"/>
        <family val="3"/>
        <charset val="129"/>
      </rPr>
      <t>"은 해당 대부업체 재임까지의 중요 경력사항을 근무일자순으로 기재</t>
    </r>
    <phoneticPr fontId="78" type="noConversion"/>
  </si>
  <si>
    <r>
      <t>4. "</t>
    </r>
    <r>
      <rPr>
        <b/>
        <sz val="10"/>
        <rFont val="맑은 고딕"/>
        <family val="3"/>
        <charset val="129"/>
      </rPr>
      <t>상근여부</t>
    </r>
    <r>
      <rPr>
        <sz val="10"/>
        <rFont val="맑은 고딕"/>
        <family val="3"/>
        <charset val="129"/>
      </rPr>
      <t>"는 상근, 비상근(사외이사 포함)으로 구분하여 기재</t>
    </r>
    <phoneticPr fontId="78" type="noConversion"/>
  </si>
  <si>
    <t>해당/미해당</t>
    <phoneticPr fontId="78" type="noConversion"/>
  </si>
  <si>
    <r>
      <t xml:space="preserve">⑤ 직전 사업연도말 기준 자산총액이 </t>
    </r>
    <r>
      <rPr>
        <b/>
        <sz val="11"/>
        <color rgb="FFFF0000"/>
        <rFont val="맑은 고딕"/>
        <family val="3"/>
        <charset val="129"/>
        <scheme val="major"/>
      </rPr>
      <t>100억원을 초과하고</t>
    </r>
    <r>
      <rPr>
        <sz val="11"/>
        <rFont val="맑은 고딕"/>
        <family val="3"/>
        <charset val="129"/>
        <scheme val="major"/>
      </rPr>
      <t>, 대부잔액이 50억원 이상</t>
    </r>
    <phoneticPr fontId="78" type="noConversion"/>
  </si>
  <si>
    <t xml:space="preserve">    ④ 여신금융기관은 대부업법 시행령 제2조의2에 해당하는 금융기관을 말함</t>
    <phoneticPr fontId="78" type="noConversion"/>
  </si>
  <si>
    <r>
      <t>8. "</t>
    </r>
    <r>
      <rPr>
        <b/>
        <sz val="10"/>
        <rFont val="맑은 고딕"/>
        <family val="3"/>
        <charset val="129"/>
      </rPr>
      <t>여신금융기관</t>
    </r>
    <r>
      <rPr>
        <sz val="10"/>
        <rFont val="맑은 고딕"/>
        <family val="3"/>
        <charset val="129"/>
      </rPr>
      <t>(M)"은 대부업법 시행령 제2조의2에 해당하는 금융기관을 말함</t>
    </r>
    <phoneticPr fontId="78" type="noConversion"/>
  </si>
  <si>
    <t>대부업∙대부중개업 전산시스템</t>
    <phoneticPr fontId="78" type="noConversion"/>
  </si>
  <si>
    <t>대부중개시스템을 활용한 중개</t>
    <phoneticPr fontId="78" type="noConversion"/>
  </si>
  <si>
    <t>광고수수료 수입</t>
    <phoneticPr fontId="78" type="noConversion"/>
  </si>
  <si>
    <t>대부중개시스템 활용 현황</t>
    <phoneticPr fontId="78" type="noConversion"/>
  </si>
  <si>
    <t>대부중개시스템 이용계약 상대업자수</t>
    <phoneticPr fontId="78" type="noConversion"/>
  </si>
  <si>
    <t>대부중개시스템 이용건수</t>
    <phoneticPr fontId="78" type="noConversion"/>
  </si>
  <si>
    <t>(단위 : 개, 건, 원)</t>
    <phoneticPr fontId="78" type="noConversion"/>
  </si>
  <si>
    <t>Ⅳ-2. 금액대별 신규취급 현황</t>
    <phoneticPr fontId="79" type="noConversion"/>
  </si>
  <si>
    <t>(단위 : 명, 원)</t>
    <phoneticPr fontId="79" type="noConversion"/>
  </si>
  <si>
    <t>300만원 이하</t>
    <phoneticPr fontId="78" type="noConversion"/>
  </si>
  <si>
    <t>300만원 초과 
500만원 이하</t>
    <phoneticPr fontId="78" type="noConversion"/>
  </si>
  <si>
    <t>500만원 초과 
1,000만원 이하</t>
    <phoneticPr fontId="78" type="noConversion"/>
  </si>
  <si>
    <t>1,000만원 초과
 5,000만원 이하</t>
    <phoneticPr fontId="78" type="noConversion"/>
  </si>
  <si>
    <t xml:space="preserve">5,000만원 초과 </t>
    <phoneticPr fontId="78" type="noConversion"/>
  </si>
  <si>
    <t>합   계</t>
    <phoneticPr fontId="78" type="noConversion"/>
  </si>
  <si>
    <t>거래자수</t>
    <phoneticPr fontId="78" type="noConversion"/>
  </si>
  <si>
    <t>금액</t>
    <phoneticPr fontId="78" type="noConversion"/>
  </si>
  <si>
    <t>개인
대출</t>
    <phoneticPr fontId="78" type="noConversion"/>
  </si>
  <si>
    <t>신용대출</t>
    <phoneticPr fontId="78" type="noConversion"/>
  </si>
  <si>
    <t>담보대출</t>
    <phoneticPr fontId="78" type="noConversion"/>
  </si>
  <si>
    <t>주택담보대출</t>
    <phoneticPr fontId="78" type="noConversion"/>
  </si>
  <si>
    <t>기타담보대출</t>
    <phoneticPr fontId="78" type="noConversion"/>
  </si>
  <si>
    <t>소계</t>
    <phoneticPr fontId="78" type="noConversion"/>
  </si>
  <si>
    <t>기타대출</t>
    <phoneticPr fontId="78" type="noConversion"/>
  </si>
  <si>
    <t>소 계</t>
    <phoneticPr fontId="78" type="noConversion"/>
  </si>
  <si>
    <t>중소
기업
대출</t>
    <phoneticPr fontId="78" type="noConversion"/>
  </si>
  <si>
    <t>개인
사업자</t>
    <phoneticPr fontId="78" type="noConversion"/>
  </si>
  <si>
    <t>기타
(개인사업자 외)</t>
    <phoneticPr fontId="78" type="noConversion"/>
  </si>
  <si>
    <t>중소기업대출계</t>
    <phoneticPr fontId="78" type="noConversion"/>
  </si>
  <si>
    <t>대기업
대출</t>
    <phoneticPr fontId="78" type="noConversion"/>
  </si>
  <si>
    <t>1. 신규취급 금액은 해당 반기중 신규 취급된 건별 대출금의 합계, 신규취급은 기존 대출을 상환하기 위한 대환대출 및 기존 여신의 증액, 재약정 등 포함</t>
    <phoneticPr fontId="78" type="noConversion"/>
  </si>
  <si>
    <r>
      <t xml:space="preserve">2. 중소기업은 원칙적으로 「중소기업기본법」상 중소기업을 의미하나, </t>
    </r>
    <r>
      <rPr>
        <b/>
        <sz val="10"/>
        <rFont val="맑은 고딕"/>
        <family val="3"/>
        <charset val="129"/>
      </rPr>
      <t>개인사업자대출</t>
    </r>
    <r>
      <rPr>
        <sz val="10"/>
        <rFont val="맑은 고딕"/>
        <family val="3"/>
        <charset val="129"/>
      </rPr>
      <t>은 개인대출이 아닌 중소기업대출에 포함(중소기업대출을 개인사업자대출과 기타로 구분하여 작성)</t>
    </r>
    <phoneticPr fontId="78" type="noConversion"/>
  </si>
  <si>
    <t xml:space="preserve">※ 매입채권은 제외 </t>
    <phoneticPr fontId="79" type="noConversion"/>
  </si>
  <si>
    <t>I-11. 법규 준수 현황</t>
    <phoneticPr fontId="78" type="noConversion"/>
  </si>
  <si>
    <t>구분</t>
    <phoneticPr fontId="78" type="noConversion"/>
  </si>
  <si>
    <t>업종명 기재</t>
    <phoneticPr fontId="78" type="noConversion"/>
  </si>
  <si>
    <t>금지업종 해당 여부</t>
    <phoneticPr fontId="78" type="noConversion"/>
  </si>
  <si>
    <t>1. 겸업금지 업종 영위 여부</t>
    <phoneticPr fontId="78" type="noConversion"/>
  </si>
  <si>
    <t>(단위 : 원)</t>
    <phoneticPr fontId="78" type="noConversion"/>
  </si>
  <si>
    <t>자기자본(A)</t>
    <phoneticPr fontId="78" type="noConversion"/>
  </si>
  <si>
    <t>시행령상 
자기자본 요건(B)</t>
    <phoneticPr fontId="78" type="noConversion"/>
  </si>
  <si>
    <t>충족 여부(A-B)</t>
    <phoneticPr fontId="78" type="noConversion"/>
  </si>
  <si>
    <t>2. 최소 자기자본 요건 충족 여부</t>
    <phoneticPr fontId="78" type="noConversion"/>
  </si>
  <si>
    <t>충족/미충족</t>
    <phoneticPr fontId="78" type="noConversion"/>
  </si>
  <si>
    <t>(단위 : 배)</t>
    <phoneticPr fontId="78" type="noConversion"/>
  </si>
  <si>
    <t>총자산한도(A)</t>
    <phoneticPr fontId="78" type="noConversion"/>
  </si>
  <si>
    <t>시행령상 
총자산한도(B)</t>
    <phoneticPr fontId="78" type="noConversion"/>
  </si>
  <si>
    <t>충족 여부(B-A)</t>
    <phoneticPr fontId="78" type="noConversion"/>
  </si>
  <si>
    <t>3. 총자산한도 요건 충족 여부</t>
    <phoneticPr fontId="78" type="noConversion"/>
  </si>
  <si>
    <t>10배 이내</t>
    <phoneticPr fontId="78" type="noConversion"/>
  </si>
  <si>
    <t>대주주
신용공여액(B)</t>
    <phoneticPr fontId="78" type="noConversion"/>
  </si>
  <si>
    <t>시행령상 
신용공여 한도(C)</t>
    <phoneticPr fontId="78" type="noConversion"/>
  </si>
  <si>
    <t>충족 여부(C-B)</t>
    <phoneticPr fontId="78" type="noConversion"/>
  </si>
  <si>
    <r>
      <t xml:space="preserve">4. 대기업집단 소속 대부업자의 </t>
    </r>
    <r>
      <rPr>
        <b/>
        <sz val="11"/>
        <rFont val="맑은 고딕"/>
        <family val="3"/>
        <charset val="129"/>
      </rPr>
      <t xml:space="preserve">대주주 
</t>
    </r>
    <r>
      <rPr>
        <sz val="11"/>
        <rFont val="맑은 고딕"/>
        <family val="3"/>
        <charset val="129"/>
      </rPr>
      <t>신용공여 규제 준수 여부</t>
    </r>
    <phoneticPr fontId="78" type="noConversion"/>
  </si>
  <si>
    <t>자기자본의 100%
이내</t>
    <phoneticPr fontId="78" type="noConversion"/>
  </si>
  <si>
    <t>시행령상 
신용공여 한도(B)</t>
    <phoneticPr fontId="78" type="noConversion"/>
  </si>
  <si>
    <r>
      <t xml:space="preserve">5. 여신금융기관이 최대주주인 대부업자의 </t>
    </r>
    <r>
      <rPr>
        <b/>
        <sz val="11"/>
        <rFont val="맑은 고딕"/>
        <family val="3"/>
        <charset val="129"/>
      </rPr>
      <t>대주주</t>
    </r>
    <r>
      <rPr>
        <sz val="11"/>
        <rFont val="맑은 고딕"/>
        <family val="3"/>
        <charset val="129"/>
      </rPr>
      <t xml:space="preserve"> 신용공여 규제 준수 여부</t>
    </r>
    <phoneticPr fontId="78" type="noConversion"/>
  </si>
  <si>
    <t>0</t>
    <phoneticPr fontId="78" type="noConversion"/>
  </si>
  <si>
    <t>대부업 이용자
보호기준</t>
    <phoneticPr fontId="78" type="noConversion"/>
  </si>
  <si>
    <t>보호감시인
선임 여부</t>
    <phoneticPr fontId="78" type="noConversion"/>
  </si>
  <si>
    <t>보호감시인
직위</t>
    <phoneticPr fontId="78" type="noConversion"/>
  </si>
  <si>
    <t>6. 소비자 보호기준 마련 여부</t>
    <phoneticPr fontId="78" type="noConversion"/>
  </si>
  <si>
    <t>제정/미제정</t>
    <phoneticPr fontId="78" type="noConversion"/>
  </si>
  <si>
    <t>선임/미선임</t>
    <phoneticPr fontId="78" type="noConversion"/>
  </si>
  <si>
    <t>손해배상책임 
보장 준비금액(A)</t>
    <phoneticPr fontId="78" type="noConversion"/>
  </si>
  <si>
    <t>시행령상 
최소 보장금액(B)</t>
    <phoneticPr fontId="78" type="noConversion"/>
  </si>
  <si>
    <t>보장방법</t>
    <phoneticPr fontId="78" type="noConversion"/>
  </si>
  <si>
    <t>7. 손해배상책임 보장방안</t>
    <phoneticPr fontId="78" type="noConversion"/>
  </si>
  <si>
    <t>5천만원 이상</t>
    <phoneticPr fontId="78" type="noConversion"/>
  </si>
  <si>
    <t>예탁/보험/공제</t>
    <phoneticPr fontId="78" type="noConversion"/>
  </si>
  <si>
    <r>
      <t>1. "</t>
    </r>
    <r>
      <rPr>
        <b/>
        <sz val="10"/>
        <rFont val="맑은 고딕"/>
        <family val="3"/>
        <charset val="129"/>
      </rPr>
      <t>겸업금지업종</t>
    </r>
    <r>
      <rPr>
        <sz val="10"/>
        <rFont val="맑은 고딕"/>
        <family val="3"/>
        <charset val="129"/>
      </rPr>
      <t>"은 대부업법 시행령 제3조의7 제1항의 겸업금지 업종(전기통신사업, 사행산업, 단란주점영업 및 유흥주점영업,</t>
    </r>
    <phoneticPr fontId="78" type="noConversion"/>
  </si>
  <si>
    <t xml:space="preserve">    다단계판매업)에 해당하는 경우 기재하며, 'Ⅰ-4.타업종겸업여부'상의 겸업현황과 일치할 것</t>
    <phoneticPr fontId="78" type="noConversion"/>
  </si>
  <si>
    <r>
      <t>2. "</t>
    </r>
    <r>
      <rPr>
        <b/>
        <sz val="10"/>
        <rFont val="맑은 고딕"/>
        <family val="3"/>
        <charset val="129"/>
      </rPr>
      <t>자기자본</t>
    </r>
    <r>
      <rPr>
        <sz val="10"/>
        <rFont val="맑은 고딕"/>
        <family val="3"/>
        <charset val="129"/>
      </rPr>
      <t>"은 제출대상월말 기준</t>
    </r>
    <phoneticPr fontId="78" type="noConversion"/>
  </si>
  <si>
    <r>
      <t>3. "</t>
    </r>
    <r>
      <rPr>
        <b/>
        <sz val="10"/>
        <rFont val="맑은 고딕"/>
        <family val="3"/>
        <charset val="129"/>
      </rPr>
      <t>총자산한도</t>
    </r>
    <r>
      <rPr>
        <sz val="10"/>
        <rFont val="맑은 고딕"/>
        <family val="3"/>
        <charset val="129"/>
      </rPr>
      <t>"는 총자산을 자기자본으로 나눈 배수</t>
    </r>
    <phoneticPr fontId="78" type="noConversion"/>
  </si>
  <si>
    <r>
      <t>4. "</t>
    </r>
    <r>
      <rPr>
        <b/>
        <sz val="10"/>
        <rFont val="맑은 고딕"/>
        <family val="3"/>
        <charset val="129"/>
      </rPr>
      <t>신용공여</t>
    </r>
    <r>
      <rPr>
        <sz val="10"/>
        <rFont val="맑은 고딕"/>
        <family val="3"/>
        <charset val="129"/>
      </rPr>
      <t>"는 대부, 지급보증, 유가증권 매입, 대주주를 위한 담보제공‧어음배서, 경제적 가치가 있는 자산의 대여 등</t>
    </r>
    <phoneticPr fontId="78" type="noConversion"/>
  </si>
  <si>
    <t>5. 4~6번은 해당사항이 있는 대부업자만 기재</t>
    <phoneticPr fontId="78" type="noConversion"/>
  </si>
  <si>
    <t xml:space="preserve">3. "합계-금액"열의 "합계(D)" 는  'Ⅵ-3.금리구간대별 신규취급 현황'의 "합계-금액"열의 합계(D)와 일치하도록 작성
</t>
    <phoneticPr fontId="79" type="noConversion"/>
  </si>
  <si>
    <t xml:space="preserve">4. "거래자수"는 주민등록번호 및 사업자등록번호 기준(중복차주 제외), "합계-거래자수"열의 "합계(D)"는  'Ⅵ-3.금리구간대별 신규취급 현황'의 "합계-거래자수"열의 합계(D)와 일치하도록 작성
</t>
    <phoneticPr fontId="79" type="noConversion"/>
  </si>
  <si>
    <t>Ⅵ-3. 금리구간대별 신규취급현황</t>
    <phoneticPr fontId="78" type="noConversion"/>
  </si>
  <si>
    <t>연 22%이상
~23%미만</t>
    <phoneticPr fontId="78" type="noConversion"/>
  </si>
  <si>
    <t>연 23%이상
~24%미만</t>
    <phoneticPr fontId="78" type="noConversion"/>
  </si>
  <si>
    <t>연 24%이상
~25%미만</t>
    <phoneticPr fontId="78" type="noConversion"/>
  </si>
  <si>
    <t>연 25%이상
~30%미만</t>
    <phoneticPr fontId="78" type="noConversion"/>
  </si>
  <si>
    <t>연 30%이상
~35%미만</t>
    <phoneticPr fontId="78" type="noConversion"/>
  </si>
  <si>
    <t>연 35%이상</t>
    <phoneticPr fontId="78" type="noConversion"/>
  </si>
  <si>
    <t>개인사업자대출</t>
    <phoneticPr fontId="78" type="noConversion"/>
  </si>
  <si>
    <t>기타
(개인
사업자
대출 외)</t>
    <phoneticPr fontId="78" type="noConversion"/>
  </si>
  <si>
    <t>1. 대출금액은 제출대상월말 잔액기준으로 작성</t>
  </si>
  <si>
    <r>
      <t xml:space="preserve">2. 중소기업은 원칙적으로 「중소기업기본법」상 중소기업을 의미하나, </t>
    </r>
    <r>
      <rPr>
        <b/>
        <sz val="10"/>
        <rFont val="맑은 고딕"/>
        <family val="3"/>
        <charset val="129"/>
      </rPr>
      <t>개인사업자대출</t>
    </r>
    <r>
      <rPr>
        <sz val="10"/>
        <rFont val="맑은 고딕"/>
        <family val="3"/>
        <charset val="129"/>
      </rPr>
      <t>은 개인대출이 아닌 중소기업대출에 포함</t>
    </r>
    <phoneticPr fontId="78" type="noConversion"/>
  </si>
  <si>
    <t xml:space="preserve">3. "합계-금액"열의 "합계(D)" 는  'Ⅳ-2.금액대별 신규취급 현황'의 "합계-금액"열의 합계(D)와 일치하도록 작성 
</t>
    <phoneticPr fontId="79" type="noConversion"/>
  </si>
  <si>
    <t xml:space="preserve">4. "거래자수"는 주민등록번호 및 사업자등록번호 기준(중복차주 제외)이며, "합계-거래자수"열의 "합계(D)"는 'Ⅳ-2.금액대별 신규취급 현황'의 "합계-거래자수"열의 합계(D)와 일치하도록 작성
</t>
    <phoneticPr fontId="79" type="noConversion"/>
  </si>
  <si>
    <t>※ 매입채권은 제외 → 매입채권은 'Ⅳ-5. 매입채권 현황'에만 작성할 것</t>
    <phoneticPr fontId="79" type="noConversion"/>
  </si>
  <si>
    <t>Ⅳ-6. 대출신청 유형별 대출명세</t>
    <phoneticPr fontId="78" type="noConversion"/>
  </si>
  <si>
    <t>(단위 : 건, 원)</t>
    <phoneticPr fontId="78" type="noConversion"/>
  </si>
  <si>
    <t>구       분</t>
    <phoneticPr fontId="78" type="noConversion"/>
  </si>
  <si>
    <t>신규취급액</t>
    <phoneticPr fontId="78" type="noConversion"/>
  </si>
  <si>
    <t>대출잔액</t>
    <phoneticPr fontId="78" type="noConversion"/>
  </si>
  <si>
    <t>금반기중</t>
    <phoneticPr fontId="78" type="noConversion"/>
  </si>
  <si>
    <t>금반기말</t>
    <phoneticPr fontId="78" type="noConversion"/>
  </si>
  <si>
    <t>신청건수</t>
    <phoneticPr fontId="78" type="noConversion"/>
  </si>
  <si>
    <t>신청금액</t>
    <phoneticPr fontId="78" type="noConversion"/>
  </si>
  <si>
    <t>승인건수</t>
    <phoneticPr fontId="78" type="noConversion"/>
  </si>
  <si>
    <t>대출금액</t>
    <phoneticPr fontId="78" type="noConversion"/>
  </si>
  <si>
    <t>A1</t>
    <phoneticPr fontId="78" type="noConversion"/>
  </si>
  <si>
    <t xml:space="preserve">  중개업자</t>
    <phoneticPr fontId="78" type="noConversion"/>
  </si>
  <si>
    <t>A11</t>
    <phoneticPr fontId="78" type="noConversion"/>
  </si>
  <si>
    <t>온라인플랫폼 대출중개업자</t>
    <phoneticPr fontId="78" type="noConversion"/>
  </si>
  <si>
    <t>A2</t>
  </si>
  <si>
    <t xml:space="preserve">  인터넷</t>
    <phoneticPr fontId="78" type="noConversion"/>
  </si>
  <si>
    <t>A3</t>
  </si>
  <si>
    <t xml:space="preserve">  콜센터(전화)</t>
    <phoneticPr fontId="78" type="noConversion"/>
  </si>
  <si>
    <t>A4</t>
    <phoneticPr fontId="78" type="noConversion"/>
  </si>
  <si>
    <t xml:space="preserve">  기    타</t>
    <phoneticPr fontId="78" type="noConversion"/>
  </si>
  <si>
    <t xml:space="preserve">  합    계</t>
    <phoneticPr fontId="78" type="noConversion"/>
  </si>
  <si>
    <t>1. "신규취급액"은 당해 반기 중 신규 대출취급 금액을 기준으로, "대출잔액"은 당해 반기 말 잔액을 기준으로 작성</t>
    <phoneticPr fontId="78" type="noConversion"/>
  </si>
  <si>
    <t xml:space="preserve">2. 중개업자를 통해 접수된 경우 "중개업자", 인터넷, 콜센터, 기타 등의 방식으로 대부업자에게 직접  대출을 신청한 경우 </t>
    <phoneticPr fontId="78" type="noConversion"/>
  </si>
  <si>
    <t xml:space="preserve">  해당되는 각 경로방법을 기재</t>
    <phoneticPr fontId="78" type="noConversion"/>
  </si>
  <si>
    <t xml:space="preserve">   예) 대부업자 홈페이지를 통해 접수된 경우 "인터넷", 콜센터에 직접 전화를 하여 신청한 경우 "콜센터(전화)"로 기재</t>
    <phoneticPr fontId="78" type="noConversion"/>
  </si>
  <si>
    <t>Ⅵ-2. 금리구간대별 대출잔액현황</t>
    <phoneticPr fontId="78" type="noConversion"/>
  </si>
  <si>
    <t>연 20%초과
~24%이하</t>
    <phoneticPr fontId="78" type="noConversion"/>
  </si>
  <si>
    <t>연 24%초과</t>
    <phoneticPr fontId="78" type="noConversion"/>
  </si>
  <si>
    <t xml:space="preserve">3. "합계-금액"열의 "합계(D)" 는 'Ⅱ-1. 재무상태표'의 "1.대출금(AC100)", 'Ⅳ-1.금액대별대출금명세'의 "대출금잔액"열의 합계(D), 'Ⅴ-1.대출금연체현황'의 "합계-금액"열의 합계(D), 'Ⅵ-1.대출금리현황'의 "대출금잔액"열의 합계(D)와 일치하도록 작성 
</t>
    <phoneticPr fontId="79" type="noConversion"/>
  </si>
  <si>
    <t xml:space="preserve">4. "거래자수"는 주민등록번호 및 사업자등록번호 기준(중복차주 제외) "합계-거래자수"열의 "합계(D)"는 'Ⅳ-1.금액대별대출금명세'의 "합계-거래자수"열의 합계(D), 'Ⅴ-1.대출금연체현황'의 "합계-거래자수"열의 합계(D)와 일치하도록 작성
</t>
    <phoneticPr fontId="79" type="noConversion"/>
  </si>
  <si>
    <r>
      <t xml:space="preserve">3. "온라인플랫폼 대출중개업자"는 </t>
    </r>
    <r>
      <rPr>
        <sz val="10"/>
        <color rgb="FFFF0000"/>
        <rFont val="맑은 고딕"/>
        <family val="3"/>
        <charset val="129"/>
        <scheme val="minor"/>
      </rPr>
      <t xml:space="preserve">서민금융 우수 대부업자에 한해 작성하는 항목으로 </t>
    </r>
    <r>
      <rPr>
        <sz val="10"/>
        <rFont val="맑은 고딕"/>
        <family val="3"/>
        <charset val="129"/>
        <scheme val="minor"/>
      </rPr>
      <t>대출성 상품에 관한 금융상품판매대리 및 중개업을 전자금융거래 방식으로만 영위하는 법인(「금융소비자보호 감독규정」제22조 제2.가.호 관련)</t>
    </r>
    <phoneticPr fontId="78" type="noConversion"/>
  </si>
  <si>
    <t>3억원 이상</t>
    <phoneticPr fontId="78" type="noConversion"/>
  </si>
  <si>
    <r>
      <t>I-6. 임</t>
    </r>
    <r>
      <rPr>
        <b/>
        <sz val="18"/>
        <color rgb="FFFF0000"/>
        <rFont val="맑은 고딕"/>
        <family val="3"/>
        <charset val="129"/>
        <scheme val="minor"/>
      </rPr>
      <t>직</t>
    </r>
    <r>
      <rPr>
        <b/>
        <sz val="18"/>
        <rFont val="맑은 고딕"/>
        <family val="3"/>
        <charset val="129"/>
        <scheme val="minor"/>
      </rPr>
      <t>원 및 보호감시인 현황</t>
    </r>
    <phoneticPr fontId="78" type="noConversion"/>
  </si>
  <si>
    <r>
      <t>5. 임직원 및 보호감시인의 성명 및 수는 &lt;</t>
    </r>
    <r>
      <rPr>
        <sz val="10"/>
        <color rgb="FFFF0000"/>
        <rFont val="맑은 고딕"/>
        <family val="3"/>
        <charset val="129"/>
        <scheme val="minor"/>
      </rPr>
      <t>1-6.</t>
    </r>
    <r>
      <rPr>
        <sz val="10"/>
        <rFont val="맑은 고딕"/>
        <family val="3"/>
        <charset val="129"/>
        <scheme val="minor"/>
      </rPr>
      <t>임직원 및 보호감시인 현황&gt;의 성명 및 수와 일치시킬 것</t>
    </r>
    <phoneticPr fontId="78" type="noConversion"/>
  </si>
  <si>
    <r>
      <t>I-7. 임</t>
    </r>
    <r>
      <rPr>
        <b/>
        <sz val="18"/>
        <color rgb="FFFF0000"/>
        <rFont val="맑은 고딕"/>
        <family val="3"/>
        <charset val="129"/>
        <scheme val="minor"/>
      </rPr>
      <t>직</t>
    </r>
    <r>
      <rPr>
        <b/>
        <sz val="18"/>
        <rFont val="맑은 고딕"/>
        <family val="3"/>
        <charset val="129"/>
        <scheme val="minor"/>
      </rPr>
      <t>원 및 보호감시인 이력서</t>
    </r>
    <phoneticPr fontId="78" type="noConversion"/>
  </si>
  <si>
    <r>
      <t>1. 작성기준일 현재 재직중인 임직원 및 보호감시인을 모두 기재</t>
    </r>
    <r>
      <rPr>
        <sz val="10"/>
        <color rgb="FFFF0000"/>
        <rFont val="맑은 고딕"/>
        <family val="3"/>
        <charset val="129"/>
        <scheme val="minor"/>
      </rPr>
      <t xml:space="preserve">(단, 직원은 대부중개사이트영위업자의 </t>
    </r>
    <r>
      <rPr>
        <u/>
        <sz val="10"/>
        <color rgb="FFFF0000"/>
        <rFont val="맑은 고딕"/>
        <family val="3"/>
        <charset val="129"/>
        <scheme val="minor"/>
      </rPr>
      <t>전산설비 전문인력</t>
    </r>
    <r>
      <rPr>
        <sz val="10"/>
        <color rgb="FFFF0000"/>
        <rFont val="맑은 고딕"/>
        <family val="3"/>
        <charset val="129"/>
        <scheme val="minor"/>
      </rPr>
      <t>에 한함)</t>
    </r>
    <phoneticPr fontId="78" type="noConversion"/>
  </si>
  <si>
    <r>
      <t>1. 작성기준일 현재 재직중인 임직원 및 보호감시인을 모두 기재</t>
    </r>
    <r>
      <rPr>
        <sz val="10"/>
        <color rgb="FFFF0000"/>
        <rFont val="맑은 고딕"/>
        <family val="3"/>
        <charset val="129"/>
        <scheme val="minor"/>
      </rPr>
      <t xml:space="preserve">(직원은 대부중개사이트영위업자의 </t>
    </r>
    <r>
      <rPr>
        <u/>
        <sz val="10"/>
        <color rgb="FFFF0000"/>
        <rFont val="맑은 고딕"/>
        <family val="3"/>
        <charset val="129"/>
        <scheme val="minor"/>
      </rPr>
      <t>전산설비 전문인력</t>
    </r>
    <r>
      <rPr>
        <sz val="10"/>
        <color rgb="FFFF0000"/>
        <rFont val="맑은 고딕"/>
        <family val="3"/>
        <charset val="129"/>
        <scheme val="minor"/>
      </rPr>
      <t>에 한함)</t>
    </r>
    <phoneticPr fontId="78" type="noConversion"/>
  </si>
  <si>
    <t>5. '대부중개시스템을 활용한 중개'는 대부중개사이트영위업자에 한해 작성하는 항목으로 '직접 중개' 중 대부중개 목적으로 설치 및 운영되는 게시판을 통해 중개한 실적을 의미</t>
    <phoneticPr fontId="78" type="noConversion"/>
  </si>
  <si>
    <r>
      <rPr>
        <sz val="10"/>
        <color rgb="FFFF0000"/>
        <rFont val="맑은 고딕"/>
        <family val="3"/>
        <charset val="129"/>
        <scheme val="minor"/>
      </rPr>
      <t>6.</t>
    </r>
    <r>
      <rPr>
        <sz val="10"/>
        <color theme="1"/>
        <rFont val="맑은 고딕"/>
        <family val="3"/>
        <charset val="129"/>
        <scheme val="minor"/>
      </rPr>
      <t xml:space="preserve"> '연결 중개'는 대부 신청인을 직접 접촉하지 않고 하위 대부중개업자로 부터 위탁받아 대부업자 및 상위 대부중개업자에게 연결해준 실적을 의미</t>
    </r>
    <phoneticPr fontId="78" type="noConversion"/>
  </si>
  <si>
    <t>광고계약 상대방 대부업자수</t>
    <phoneticPr fontId="78" type="noConversion"/>
  </si>
  <si>
    <t>광고수입 현황</t>
    <phoneticPr fontId="78" type="noConversion"/>
  </si>
  <si>
    <t>대부이용자의 게시글 수</t>
    <phoneticPr fontId="78" type="noConversion"/>
  </si>
  <si>
    <t>대부업자 댓글 수</t>
    <phoneticPr fontId="78" type="noConversion"/>
  </si>
  <si>
    <t>1. 대부중개시스템 활용 대부중개 현황은 대부중개사이트영위업자에 한해 작성하는 사항임</t>
    <phoneticPr fontId="78" type="noConversion"/>
  </si>
  <si>
    <t>3. '대부중개시스템 이용건수'는 대부중개시스템을 이용(게시글, 댓글)한 누적 건수를 의미</t>
    <phoneticPr fontId="78" type="noConversion"/>
  </si>
  <si>
    <t>2. '광고수입 현황'은 대부중개시스템을 활용하여 대부중개한 사항은 포함하지 않음</t>
    <phoneticPr fontId="78" type="noConversion"/>
  </si>
  <si>
    <r>
      <rPr>
        <sz val="11"/>
        <color rgb="FFFF0000"/>
        <rFont val="맑은 고딕"/>
        <family val="3"/>
        <charset val="129"/>
      </rPr>
      <t>⑥</t>
    </r>
    <r>
      <rPr>
        <sz val="11"/>
        <color rgb="FFFF0000"/>
        <rFont val="맑은 고딕"/>
        <family val="3"/>
        <charset val="129"/>
        <scheme val="major"/>
      </rPr>
      <t xml:space="preserve"> 대부중개시스템을 활용한 대부중개업 영위 중</t>
    </r>
    <phoneticPr fontId="78" type="noConversion"/>
  </si>
  <si>
    <r>
      <t xml:space="preserve">⑤ 직전 사업연도말 기준 자산총액이 </t>
    </r>
    <r>
      <rPr>
        <b/>
        <sz val="11"/>
        <rFont val="맑은 고딕"/>
        <family val="3"/>
        <charset val="129"/>
        <scheme val="major"/>
      </rPr>
      <t>100억원을 초과하고</t>
    </r>
    <r>
      <rPr>
        <sz val="11"/>
        <rFont val="맑은 고딕"/>
        <family val="3"/>
        <charset val="129"/>
        <scheme val="major"/>
      </rPr>
      <t>, 대부잔액이 50억원 이상</t>
    </r>
    <phoneticPr fontId="78" type="noConversion"/>
  </si>
  <si>
    <r>
      <t>13. "</t>
    </r>
    <r>
      <rPr>
        <b/>
        <sz val="10"/>
        <color rgb="FFFF0000"/>
        <rFont val="맑은 고딕"/>
        <family val="3"/>
        <charset val="129"/>
      </rPr>
      <t>회계전산시스템</t>
    </r>
    <r>
      <rPr>
        <sz val="10"/>
        <color rgb="FFFF0000"/>
        <rFont val="맑은 고딕"/>
        <family val="3"/>
        <charset val="129"/>
      </rPr>
      <t>(W)" 및 "</t>
    </r>
    <r>
      <rPr>
        <b/>
        <sz val="10"/>
        <color rgb="FFFF0000"/>
        <rFont val="맑은 고딕"/>
        <family val="3"/>
        <charset val="129"/>
      </rPr>
      <t>대부업∙대부중개업 전산시스템</t>
    </r>
    <r>
      <rPr>
        <sz val="10"/>
        <color rgb="FFFF0000"/>
        <rFont val="맑은 고딕"/>
        <family val="3"/>
        <charset val="129"/>
      </rPr>
      <t>(X)"은 ①사용함(ⓐ내부직접관리-시스템명) 
    ②사용함(ⓑ외부위탁관리-시스템명), ③사용하지 않음 중 택일</t>
    </r>
    <phoneticPr fontId="78" type="noConversion"/>
  </si>
  <si>
    <r>
      <t xml:space="preserve">    </t>
    </r>
    <r>
      <rPr>
        <sz val="10"/>
        <color rgb="FFFF0000"/>
        <rFont val="맑은 고딕"/>
        <family val="3"/>
        <charset val="129"/>
      </rPr>
      <t>⑥ 대부중개를 목적으로 게시판(그 명칭과 관계없이 정보통신망을 이용하여 일반 또는 둘 이상의 대부업자에게 공개할 목적으로 부호ㆍ</t>
    </r>
    <r>
      <rPr>
        <sz val="10"/>
        <color rgb="FFFF0000"/>
        <rFont val="맑은 고딕"/>
        <family val="3"/>
        <charset val="129"/>
        <scheme val="major"/>
      </rPr>
      <t>문자ㆍ음성ㆍ음향ㆍ화상ㆍ동영상 등의 정보를 이용자가 게재할 수 있는 컴퓨터 프로그램이나 기술적 장치를 의미)을 설치 및 운영하여 거래 상대방의 개인정보를 수집ㆍ이용하는 방식으로 대부중개업을 영위하는 것을 말함</t>
    </r>
    <phoneticPr fontId="78" type="noConversion"/>
  </si>
  <si>
    <t xml:space="preserve">    ④ 여신금융기관은 대부업법 시행령 제2조의2에 해당하는 금융기관을 말함
</t>
    <phoneticPr fontId="78" type="noConversion"/>
  </si>
  <si>
    <r>
      <t>13. "</t>
    </r>
    <r>
      <rPr>
        <b/>
        <sz val="10"/>
        <rFont val="맑은 고딕"/>
        <family val="3"/>
        <charset val="129"/>
      </rPr>
      <t>회계전산시스템</t>
    </r>
    <r>
      <rPr>
        <sz val="10"/>
        <rFont val="맑은 고딕"/>
        <family val="3"/>
        <charset val="129"/>
      </rPr>
      <t>(W)" 및 "</t>
    </r>
    <r>
      <rPr>
        <b/>
        <sz val="10"/>
        <rFont val="맑은 고딕"/>
        <family val="3"/>
        <charset val="129"/>
      </rPr>
      <t>대부업 전산시스템</t>
    </r>
    <r>
      <rPr>
        <sz val="10"/>
        <rFont val="맑은 고딕"/>
        <family val="3"/>
        <charset val="129"/>
      </rPr>
      <t>(X)"은 ①사용함(ⓐ내부직접관리-시스템명) 
    ②사용함(ⓑ외부위탁관리-시스템명), ③사용하지 않음 중 택일</t>
    </r>
    <phoneticPr fontId="78" type="noConversion"/>
  </si>
  <si>
    <r>
      <t>8. "</t>
    </r>
    <r>
      <rPr>
        <b/>
        <sz val="10"/>
        <rFont val="맑은 고딕"/>
        <family val="3"/>
        <charset val="129"/>
      </rPr>
      <t>여신금융기관</t>
    </r>
    <r>
      <rPr>
        <sz val="10"/>
        <rFont val="맑은 고딕"/>
        <family val="3"/>
        <charset val="129"/>
      </rPr>
      <t xml:space="preserve">(M)"은 대부업법 시행령 제2조의2에 해당하는 금융기관을 말함
</t>
    </r>
    <phoneticPr fontId="78" type="noConversion"/>
  </si>
  <si>
    <t>대부업 전산시스템</t>
    <phoneticPr fontId="78" type="noConversion"/>
  </si>
  <si>
    <t xml:space="preserve">1. 작성기준일 현재 재직중인 임원 및 보호감시인을 모두 기재
</t>
    <phoneticPr fontId="78" type="noConversion"/>
  </si>
  <si>
    <t>I-6. 임원 및 보호감시인 현황</t>
    <phoneticPr fontId="78" type="noConversion"/>
  </si>
  <si>
    <t>5. 임원 및 보호감시인의 성명 및 수는 &lt;1-7.임원 및 보호감시인 현황&gt;의 성명 및 수와 일치시킬 것</t>
    <phoneticPr fontId="78" type="noConversion"/>
  </si>
  <si>
    <t>I-7. 임원 및 보호감시인 이력서</t>
    <phoneticPr fontId="78" type="noConversion"/>
  </si>
  <si>
    <t xml:space="preserve">4."거래자수"는 주민등록번호 및 사업자등록번호 기준(중복차주 제외)
"합계-거래자수"열의 "합계(D)", 'Ⅴ-1.대출금연체현황'의 "합계-거래자수"열의 합계(D), 'Ⅵ-2.금리구간대별 대출현황'의 "합계-거래자수"열의 합계(D)와 일치하도록 작성
</t>
    <phoneticPr fontId="79" type="noConversion"/>
  </si>
  <si>
    <t xml:space="preserve">3."합계-금액"열의 "합계(D)"는 'Ⅱ-1. 재무상태표'의 "1.대출금(AC100)", 'Ⅴ-1.대출금연체현황'의 "합계-금액"열의 합계(D), 'Ⅵ-1.대출금리현황'의 "대출금잔액"열의 합계(D), 'Ⅵ-2.금리구간대별 대출현황'의 "합계-금액"열의 합계(D)와 일치하도록 작성
</t>
    <phoneticPr fontId="79" type="noConversion"/>
  </si>
  <si>
    <t>3. "온라인플랫폼 대출중개업자"는 대출성 상품에 관한 금융상품판매대리 및 중개업을 전자금융거래 방식으로만 영위하는 법인(「금융소비자보호 감독규정」제22조 제2.가.호 관련)</t>
    <phoneticPr fontId="78" type="noConversion"/>
  </si>
  <si>
    <t>연21%이상
~22%미만</t>
    <phoneticPr fontId="78" type="noConversion"/>
  </si>
  <si>
    <t>연 20%이상
~21%미만</t>
    <phoneticPr fontId="78" type="noConversion"/>
  </si>
  <si>
    <t>연 19%이상
~20%미만</t>
    <phoneticPr fontId="78" type="noConversion"/>
  </si>
  <si>
    <t>연 18%이상
~19%미만</t>
    <phoneticPr fontId="78" type="noConversion"/>
  </si>
  <si>
    <t>연 17%이상
~18%미만</t>
    <phoneticPr fontId="78" type="noConversion"/>
  </si>
  <si>
    <t>연 16%이상
~17%미만</t>
    <phoneticPr fontId="78" type="noConversion"/>
  </si>
  <si>
    <t>연 15%이상
~16%미만</t>
    <phoneticPr fontId="78" type="noConversion"/>
  </si>
  <si>
    <t>연 10%이상
~15%미만</t>
    <phoneticPr fontId="78" type="noConversion"/>
  </si>
  <si>
    <t>연 10% 미만</t>
    <phoneticPr fontId="78" type="noConversion"/>
  </si>
  <si>
    <t>연 10% 이하</t>
    <phoneticPr fontId="78" type="noConversion"/>
  </si>
  <si>
    <t>연 10%초과
~15%이하</t>
    <phoneticPr fontId="78" type="noConversion"/>
  </si>
  <si>
    <t>연 15%초과
~16%이하</t>
    <phoneticPr fontId="78" type="noConversion"/>
  </si>
  <si>
    <t>연 16%초과
~17%이하</t>
    <phoneticPr fontId="78" type="noConversion"/>
  </si>
  <si>
    <t>연 17%초과
~18%이하</t>
    <phoneticPr fontId="78" type="noConversion"/>
  </si>
  <si>
    <t>연 18%초과
~19%이하</t>
    <phoneticPr fontId="78" type="noConversion"/>
  </si>
  <si>
    <t>연 19%초과
~20%이하</t>
    <phoneticPr fontId="78" type="noConversion"/>
  </si>
  <si>
    <t>5. '연결 중개'는 대부 신청인을 직접 접촉하지 않고 하위 대부중개업자로 부터으로 위탁받아 대부업자 및 상위 대부중개업자에게 연결해준 실적을 의미</t>
    <phoneticPr fontId="78" type="noConversion"/>
  </si>
  <si>
    <r>
      <t>Ⅸ-1.대부중개 현황</t>
    </r>
    <r>
      <rPr>
        <b/>
        <sz val="15"/>
        <rFont val="맑은 고딕"/>
        <family val="3"/>
        <charset val="129"/>
      </rPr>
      <t>&lt;대부중개업자만 작성&gt;</t>
    </r>
    <phoneticPr fontId="78" type="noConversion"/>
  </si>
  <si>
    <r>
      <rPr>
        <b/>
        <sz val="18"/>
        <color rgb="FFFF0000"/>
        <rFont val="맑은 고딕"/>
        <family val="3"/>
        <charset val="129"/>
      </rPr>
      <t>Ⅹ</t>
    </r>
    <r>
      <rPr>
        <b/>
        <sz val="18"/>
        <color rgb="FFFF0000"/>
        <rFont val="맑은 고딕"/>
        <family val="3"/>
        <charset val="129"/>
        <scheme val="minor"/>
      </rPr>
      <t>-1</t>
    </r>
    <r>
      <rPr>
        <b/>
        <sz val="18"/>
        <rFont val="맑은 고딕"/>
        <family val="3"/>
        <charset val="129"/>
        <scheme val="minor"/>
      </rPr>
      <t>.대부중개 현황</t>
    </r>
    <r>
      <rPr>
        <b/>
        <sz val="15"/>
        <color rgb="FFFF0000"/>
        <rFont val="맑은 고딕"/>
        <family val="3"/>
        <charset val="129"/>
      </rPr>
      <t>&lt;대부중개업자(대부중개사이트영위업자 포함)만 작성&gt;</t>
    </r>
    <phoneticPr fontId="78" type="noConversion"/>
  </si>
  <si>
    <r>
      <rPr>
        <b/>
        <sz val="18"/>
        <rFont val="맑은 고딕"/>
        <family val="3"/>
        <charset val="129"/>
      </rPr>
      <t>Ⅹ</t>
    </r>
    <r>
      <rPr>
        <b/>
        <sz val="18"/>
        <rFont val="맑은 고딕"/>
        <family val="3"/>
        <charset val="129"/>
        <scheme val="minor"/>
      </rPr>
      <t>-2.대부중개시스템 활용 대부중개 현황</t>
    </r>
    <r>
      <rPr>
        <b/>
        <sz val="15"/>
        <rFont val="맑은 고딕"/>
        <family val="3"/>
        <charset val="129"/>
      </rPr>
      <t>&lt;대부중개사이트영위업자만 작성&gt;</t>
    </r>
    <phoneticPr fontId="7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</si>
</sst>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#,##0&quot;台&quot;"/>
    <numFmt numFmtId="177" formatCode="_ &quot;₩&quot;* #,##0_ ;_ &quot;₩&quot;* &quot;₩&quot;\!\-#,##0_ ;_ &quot;₩&quot;* &quot;-&quot;_ ;_ @_ "/>
    <numFmt numFmtId="178" formatCode="#."/>
    <numFmt numFmtId="179" formatCode="#,##0_ "/>
    <numFmt numFmtId="180" formatCode="&quot;₩&quot;#,##0.00;&quot;₩&quot;&quot;₩&quot;&quot;₩&quot;&quot;₩&quot;&quot;₩&quot;\!\-#,##0.00"/>
    <numFmt numFmtId="181" formatCode="&quot;₩&quot;#,##0_);&quot;₩&quot;&quot;₩&quot;\(&quot;₩&quot;#,##0&quot;₩&quot;&quot;₩&quot;\)"/>
    <numFmt numFmtId="182" formatCode="#,##0;&quot;△&quot;#,##0"/>
    <numFmt numFmtId="183" formatCode="_(&quot;$&quot;* #,##0_);_(&quot;$&quot;* &quot;₩&quot;&quot;₩&quot;&quot;₩&quot;&quot;₩&quot;&quot;₩&quot;&quot;₩&quot;\(#,##0&quot;₩&quot;&quot;₩&quot;&quot;₩&quot;&quot;₩&quot;&quot;₩&quot;&quot;₩&quot;\);_(&quot;$&quot;* &quot;-&quot;_);_(@_)"/>
    <numFmt numFmtId="184" formatCode="&quot;₩&quot;#,##0.00;&quot;₩&quot;\-#,##0.00"/>
    <numFmt numFmtId="185" formatCode="#,##0;&quot;-&quot;#,##0"/>
    <numFmt numFmtId="186" formatCode="0_ "/>
    <numFmt numFmtId="187" formatCode="&quot; ￦&quot;#,##0_);&quot;(￦&quot;#,##0\);&quot; ￦&quot;\-_)"/>
    <numFmt numFmtId="188" formatCode="#,##0;[Red]\-#,##0;\-"/>
    <numFmt numFmtId="189" formatCode="&quot;₩&quot;#,##0.00;[Red]&quot;₩&quot;\-#,##0.00"/>
    <numFmt numFmtId="190" formatCode="&quot;₩&quot;#,##0;[Red]&quot;₩&quot;\-#,##0"/>
    <numFmt numFmtId="191" formatCode="_ &quot;₩&quot;* #,##0_ ;_ &quot;₩&quot;* \-#,##0_ ;_ &quot;₩&quot;* &quot;-&quot;_ ;_ @_ "/>
    <numFmt numFmtId="192" formatCode="_ &quot;₩&quot;* #,##0_ ;_ &quot;₩&quot;* &quot;₩&quot;&quot;₩&quot;&quot;₩&quot;&quot;₩&quot;&quot;₩&quot;&quot;₩&quot;&quot;₩&quot;\-#,##0_ ;_ &quot;₩&quot;* &quot;-&quot;_ ;_ @_ "/>
    <numFmt numFmtId="193" formatCode="_ &quot;$&quot;* #,##0_ ;_ &quot;$&quot;* \-#,##0_ ;_ &quot;$&quot;* &quot;-&quot;_ ;_ @_ "/>
    <numFmt numFmtId="194" formatCode="&quot;₩&quot;#,##0;[Red]&quot;₩&quot;&quot;-&quot;#,##0"/>
    <numFmt numFmtId="195" formatCode="_(&quot;$&quot;* #,##0_);_(&quot;$&quot;* \(#,##0\);_(&quot;$&quot;* &quot;-&quot;_);_(@_)"/>
    <numFmt numFmtId="196" formatCode="&quot;$&quot;#,##0_);[Red]\(&quot;$&quot;#,##0\)"/>
    <numFmt numFmtId="197" formatCode="_ &quot;₩&quot;* #,##0.00_ ;_ &quot;₩&quot;* \-#,##0.00_ ;_ &quot;₩&quot;* &quot;-&quot;??_ ;_ @_ "/>
    <numFmt numFmtId="198" formatCode="_ &quot;₩&quot;* #,##0.00_ ;_ &quot;₩&quot;* &quot;₩&quot;&quot;₩&quot;&quot;₩&quot;&quot;₩&quot;&quot;₩&quot;&quot;₩&quot;&quot;₩&quot;\-#,##0.00_ ;_ &quot;₩&quot;* &quot;-&quot;??_ ;_ @_ "/>
    <numFmt numFmtId="199" formatCode="_ &quot;$&quot;* #,##0.00_ ;_ &quot;$&quot;* \-#,##0.00_ ;_ &quot;$&quot;* &quot;-&quot;??_ ;_ @_ "/>
    <numFmt numFmtId="200" formatCode="_(&quot;$&quot;* #,##0.00_);_(&quot;$&quot;* \(#,##0.00\);_(&quot;$&quot;* &quot;-&quot;??_);_(@_)"/>
    <numFmt numFmtId="201" formatCode="&quot;$&quot;#,##0.00_);[Red]\(&quot;$&quot;#,##0.00\)"/>
    <numFmt numFmtId="202" formatCode="_ * #,##0_ ;_ * \-#,##0_ ;_ * &quot;-&quot;_ ;_ @_ "/>
    <numFmt numFmtId="203" formatCode="#,##0;[Red]&quot;-&quot;#,##0"/>
    <numFmt numFmtId="204" formatCode="_ * #,##0.00_ ;_ * \-#,##0.00_ ;_ * &quot;-&quot;??_ ;_ @_ "/>
    <numFmt numFmtId="205" formatCode="_ * #,##0.00_ ;_ * &quot;₩&quot;&quot;₩&quot;&quot;₩&quot;&quot;₩&quot;&quot;₩&quot;&quot;₩&quot;&quot;₩&quot;\-#,##0.00_ ;_ * &quot;-&quot;??_ ;_ @_ "/>
    <numFmt numFmtId="206" formatCode="#,##0.00;[Red]&quot;-&quot;#,##0.00"/>
    <numFmt numFmtId="207" formatCode="#,##0.0_ "/>
    <numFmt numFmtId="208" formatCode="_-* #,##0.000_-;\-* #,##0.000_-;_-* &quot;-&quot;_-;_-@_-"/>
    <numFmt numFmtId="209" formatCode="General_)"/>
    <numFmt numFmtId="210" formatCode="0.0000000%"/>
    <numFmt numFmtId="211" formatCode="mmm\.yy"/>
    <numFmt numFmtId="212" formatCode="0.000%"/>
    <numFmt numFmtId="213" formatCode="&quot;₩&quot;#,##0;[Red]&quot;₩&quot;&quot;₩&quot;\-#,##0"/>
    <numFmt numFmtId="214" formatCode="_ * #,##0_ ;_ * &quot;₩&quot;\-#,##0_ ;_ * &quot;-&quot;_ ;_ @_ "/>
    <numFmt numFmtId="215" formatCode="_ &quot;₩&quot;* #,##0.00_ ;_ &quot;₩&quot;* &quot;₩&quot;\-#,##0.00_ ;_ &quot;₩&quot;* &quot;-&quot;??_ ;_ @_ "/>
    <numFmt numFmtId="216" formatCode="_-[$€-2]* #,##0.00_-;\-[$€-2]* #,##0.00_-;_-[$€-2]* &quot;-&quot;??_-"/>
    <numFmt numFmtId="217" formatCode="&quot;₩&quot;#,##0.00;&quot;₩&quot;&quot;₩&quot;\-#,##0.00"/>
    <numFmt numFmtId="218" formatCode="_ &quot;₩&quot;* #,##0_ ;_ &quot;₩&quot;* &quot;₩&quot;\-#,##0_ ;_ &quot;₩&quot;* &quot;-&quot;_ ;_ @_ "/>
    <numFmt numFmtId="219" formatCode="_ * #,##0.0000_ ;_ * \-#,##0.0000_ ;_ * &quot;-&quot;_ ;_ @_ "/>
    <numFmt numFmtId="220" formatCode="0.0"/>
    <numFmt numFmtId="221" formatCode="0.0000%"/>
    <numFmt numFmtId="222" formatCode="0.00000%"/>
    <numFmt numFmtId="223" formatCode="0_);\(0\)"/>
    <numFmt numFmtId="224" formatCode="&quot;₩&quot;#,##0.00;[Red]&quot;₩&quot;&quot;₩&quot;\-#,##0.00"/>
    <numFmt numFmtId="225" formatCode="_ * #,##0.00_ ;_ * \-#,##0.00_ ;_ * &quot;-&quot;_ ;_ @_ "/>
    <numFmt numFmtId="226" formatCode="0.000000%"/>
    <numFmt numFmtId="227" formatCode="\(0.0%\)"/>
  </numFmts>
  <fonts count="132">
    <font>
      <sz val="11"/>
      <name val="돋움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2"/>
      <name val="바탕체"/>
      <family val="1"/>
      <charset val="129"/>
    </font>
    <font>
      <sz val="12"/>
      <name val="¹UAAA¼"/>
      <family val="1"/>
      <charset val="129"/>
    </font>
    <font>
      <sz val="11"/>
      <name val="돋?o"/>
      <family val="3"/>
      <charset val="129"/>
    </font>
    <font>
      <sz val="10"/>
      <name val="Helv"/>
      <family val="2"/>
    </font>
    <font>
      <sz val="10"/>
      <name val="바탕체"/>
      <family val="1"/>
      <charset val="129"/>
    </font>
    <font>
      <sz val="1"/>
      <color indexed="18"/>
      <name val="Courier"/>
      <family val="3"/>
    </font>
    <font>
      <sz val="12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color indexed="10"/>
      <name val="굴림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2"/>
      <name val="돋움"/>
      <family val="3"/>
      <charset val="129"/>
    </font>
    <font>
      <b/>
      <sz val="1"/>
      <color indexed="8"/>
      <name val="Courier"/>
      <family val="3"/>
    </font>
    <font>
      <sz val="10"/>
      <name val="PragmaticaCTT"/>
      <family val="1"/>
    </font>
    <font>
      <sz val="11"/>
      <color indexed="20"/>
      <name val="맑은 고딕"/>
      <family val="3"/>
      <charset val="129"/>
    </font>
    <font>
      <sz val="1"/>
      <color indexed="8"/>
      <name val="Courier"/>
      <family val="3"/>
    </font>
    <font>
      <u/>
      <sz val="11"/>
      <color indexed="36"/>
      <name val="돋움"/>
      <family val="3"/>
      <charset val="129"/>
    </font>
    <font>
      <sz val="14"/>
      <name val="뼻뮝"/>
      <family val="3"/>
      <charset val="129"/>
    </font>
    <font>
      <sz val="11"/>
      <name val="돋움체"/>
      <family val="3"/>
      <charset val="129"/>
    </font>
    <font>
      <sz val="11"/>
      <color indexed="60"/>
      <name val="맑은 고딕"/>
      <family val="3"/>
      <charset val="129"/>
    </font>
    <font>
      <sz val="12"/>
      <name val="뼻뮝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name val="굴림"/>
      <family val="3"/>
      <charset val="129"/>
    </font>
    <font>
      <sz val="10"/>
      <name val="명조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0"/>
      <name val="궁서(English)"/>
      <family val="3"/>
      <charset val="129"/>
    </font>
    <font>
      <sz val="11"/>
      <name val="바탕"/>
      <family val="1"/>
      <charset val="129"/>
    </font>
    <font>
      <sz val="12"/>
      <name val="Times New Roman"/>
      <family val="1"/>
    </font>
    <font>
      <sz val="11"/>
      <color indexed="62"/>
      <name val="맑은 고딕"/>
      <family val="3"/>
      <charset val="129"/>
    </font>
    <font>
      <sz val="10"/>
      <color indexed="24"/>
      <name val="MS Sans Serif"/>
      <family val="2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name val="ＭＳ Ｐゴシック"/>
      <family val="2"/>
      <charset val="129"/>
    </font>
    <font>
      <b/>
      <sz val="12"/>
      <name val="굴림체"/>
      <family val="3"/>
      <charset val="129"/>
    </font>
    <font>
      <sz val="12"/>
      <name val="¹ÙÅÁÃ¼"/>
      <family val="1"/>
      <charset val="129"/>
    </font>
    <font>
      <sz val="10"/>
      <name val="Geneva"/>
      <family val="2"/>
    </font>
    <font>
      <sz val="12"/>
      <name val="Arial"/>
      <family val="2"/>
    </font>
    <font>
      <sz val="12"/>
      <name val="±¼¸²A¼"/>
      <family val="3"/>
      <charset val="129"/>
    </font>
    <font>
      <sz val="11"/>
      <name val="±¼¸²Ã¼"/>
      <family val="3"/>
      <charset val="129"/>
    </font>
    <font>
      <sz val="11"/>
      <name val="±¼¸²A¼"/>
      <family val="3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sz val="12"/>
      <name val="±¼¸²Ã¼"/>
      <family val="3"/>
      <charset val="129"/>
    </font>
    <font>
      <b/>
      <sz val="10"/>
      <name val="Helv"/>
      <family val="2"/>
    </font>
    <font>
      <u val="doubleAccounting"/>
      <sz val="10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i/>
      <sz val="22"/>
      <name val="Times New Roman"/>
      <family val="1"/>
    </font>
    <font>
      <u/>
      <sz val="10"/>
      <color indexed="12"/>
      <name val="MS Sans Serif"/>
      <family val="2"/>
    </font>
    <font>
      <b/>
      <sz val="16"/>
      <name val="Times New Roman"/>
      <family val="1"/>
    </font>
    <font>
      <sz val="10"/>
      <color indexed="12"/>
      <name val="Arial"/>
      <family val="2"/>
    </font>
    <font>
      <b/>
      <sz val="14"/>
      <color indexed="24"/>
      <name val="Book Antiqua"/>
      <family val="1"/>
    </font>
    <font>
      <b/>
      <sz val="11"/>
      <name val="Helv"/>
      <family val="2"/>
    </font>
    <font>
      <sz val="7"/>
      <name val="Small Fonts"/>
      <family val="2"/>
    </font>
    <font>
      <sz val="12"/>
      <name val="Helv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i/>
      <sz val="14"/>
      <name val="Times New Roman"/>
      <family val="1"/>
    </font>
    <font>
      <b/>
      <sz val="22"/>
      <name val="Book Antiqua"/>
      <family val="1"/>
    </font>
    <font>
      <u val="singleAccounting"/>
      <sz val="10"/>
      <name val="Arial"/>
      <family val="2"/>
    </font>
    <font>
      <b/>
      <sz val="10"/>
      <color indexed="10"/>
      <name val="Arial"/>
      <family val="2"/>
    </font>
    <font>
      <sz val="10"/>
      <name val="Times New Roman"/>
      <family val="1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20"/>
      <name val="맑은 고딕"/>
      <family val="3"/>
      <charset val="129"/>
    </font>
    <font>
      <b/>
      <sz val="11"/>
      <name val="맑은 고딕"/>
      <family val="3"/>
      <charset val="129"/>
    </font>
    <font>
      <sz val="13"/>
      <name val="돋움"/>
      <family val="3"/>
      <charset val="129"/>
    </font>
    <font>
      <sz val="13"/>
      <color indexed="8"/>
      <name val="Arial"/>
      <family val="2"/>
    </font>
    <font>
      <b/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8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6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b/>
      <u/>
      <sz val="10"/>
      <color rgb="FFFF0000"/>
      <name val="휴먼명조"/>
      <family val="3"/>
      <charset val="129"/>
    </font>
    <font>
      <b/>
      <sz val="11"/>
      <color rgb="FF0070C0"/>
      <name val="맑은 고딕"/>
      <family val="3"/>
      <charset val="129"/>
      <scheme val="major"/>
    </font>
    <font>
      <sz val="11"/>
      <color rgb="FF0070C0"/>
      <name val="맑은 고딕"/>
      <family val="3"/>
      <charset val="129"/>
      <scheme val="major"/>
    </font>
    <font>
      <sz val="10"/>
      <color rgb="FF000000"/>
      <name val="바탕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indexed="12"/>
      <name val="굴림"/>
      <family val="3"/>
      <charset val="129"/>
    </font>
    <font>
      <b/>
      <sz val="10"/>
      <color rgb="FFFF0000"/>
      <name val="굴림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vertAlign val="subscript"/>
      <sz val="11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trike/>
      <sz val="11"/>
      <color rgb="FFFF0000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u/>
      <sz val="10"/>
      <color rgb="FFFF0000"/>
      <name val="맑은 고딕"/>
      <family val="3"/>
      <charset val="129"/>
      <scheme val="minor"/>
    </font>
    <font>
      <b/>
      <sz val="15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5"/>
      <name val="맑은 고딕"/>
      <family val="3"/>
      <charset val="129"/>
    </font>
    <font>
      <b/>
      <sz val="18"/>
      <name val="맑은 고딕"/>
      <family val="3"/>
      <charset val="129"/>
    </font>
    <font>
      <b/>
      <sz val="18"/>
      <color rgb="FFFF0000"/>
      <name val="맑은 고딕"/>
      <family val="3"/>
      <charset val="129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lightGray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3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18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</borders>
  <cellStyleXfs count="383">
    <xf numFmtId="0" fontId="0" fillId="0" borderId="0">
      <alignment vertical="center"/>
    </xf>
    <xf numFmtId="0" fontId="3" fillId="0" borderId="0" applyNumberFormat="0" applyFill="0" applyBorder="0" applyAlignment="0" applyProtection="0"/>
    <xf numFmtId="24" fontId="4" fillId="0" borderId="0" applyFont="0" applyFill="0" applyBorder="0" applyAlignment="0" applyProtection="0"/>
    <xf numFmtId="176" fontId="1" fillId="0" borderId="0" applyNumberFormat="0" applyFont="0" applyFill="0" applyBorder="0" applyAlignment="0" applyProtection="0"/>
    <xf numFmtId="176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" fillId="0" borderId="0"/>
    <xf numFmtId="0" fontId="5" fillId="0" borderId="0"/>
    <xf numFmtId="0" fontId="7" fillId="0" borderId="0"/>
    <xf numFmtId="0" fontId="2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77" fontId="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/>
    <xf numFmtId="0" fontId="8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8" fillId="0" borderId="0"/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" fontId="9" fillId="0" borderId="1">
      <alignment horizontal="center" vertical="center"/>
    </xf>
    <xf numFmtId="178" fontId="10" fillId="0" borderId="0">
      <protection locked="0"/>
    </xf>
    <xf numFmtId="10" fontId="6" fillId="0" borderId="0" applyFont="0" applyFill="0" applyBorder="0" applyAlignment="0" applyProtection="0"/>
    <xf numFmtId="0" fontId="12" fillId="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1" fillId="0" borderId="2">
      <alignment vertical="center"/>
    </xf>
    <xf numFmtId="178" fontId="10" fillId="0" borderId="0">
      <protection locked="0"/>
    </xf>
    <xf numFmtId="178" fontId="10" fillId="0" borderId="0">
      <protection locked="0"/>
    </xf>
    <xf numFmtId="191" fontId="6" fillId="0" borderId="0" applyFont="0" applyFill="0" applyBorder="0" applyAlignment="0" applyProtection="0"/>
    <xf numFmtId="192" fontId="2" fillId="0" borderId="0" applyFont="0" applyFill="0" applyBorder="0" applyAlignment="0" applyProtection="0"/>
    <xf numFmtId="191" fontId="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6" fillId="0" borderId="0" applyFont="0" applyFill="0" applyBorder="0" applyAlignment="0" applyProtection="0"/>
    <xf numFmtId="191" fontId="46" fillId="0" borderId="0" applyFont="0" applyFill="0" applyBorder="0" applyAlignment="0" applyProtection="0"/>
    <xf numFmtId="193" fontId="6" fillId="0" borderId="0" applyFont="0" applyFill="0" applyBorder="0" applyAlignment="0" applyProtection="0"/>
    <xf numFmtId="193" fontId="46" fillId="0" borderId="0" applyFont="0" applyFill="0" applyBorder="0" applyAlignment="0" applyProtection="0"/>
    <xf numFmtId="194" fontId="4" fillId="0" borderId="0" applyFont="0" applyFill="0" applyBorder="0" applyAlignment="0" applyProtection="0"/>
    <xf numFmtId="194" fontId="4" fillId="0" borderId="0" applyFont="0" applyFill="0" applyBorder="0" applyAlignment="0" applyProtection="0"/>
    <xf numFmtId="189" fontId="6" fillId="0" borderId="0" applyFont="0" applyFill="0" applyBorder="0" applyAlignment="0" applyProtection="0"/>
    <xf numFmtId="189" fontId="46" fillId="0" borderId="0" applyFont="0" applyFill="0" applyBorder="0" applyAlignment="0" applyProtection="0"/>
    <xf numFmtId="195" fontId="47" fillId="0" borderId="0" applyFont="0" applyFill="0" applyBorder="0" applyAlignment="0" applyProtection="0"/>
    <xf numFmtId="195" fontId="47" fillId="0" borderId="0" applyFont="0" applyFill="0" applyBorder="0" applyAlignment="0" applyProtection="0"/>
    <xf numFmtId="196" fontId="47" fillId="0" borderId="0" applyFont="0" applyFill="0" applyBorder="0" applyAlignment="0" applyProtection="0"/>
    <xf numFmtId="196" fontId="47" fillId="0" borderId="0" applyFont="0" applyFill="0" applyBorder="0" applyAlignment="0" applyProtection="0"/>
    <xf numFmtId="191" fontId="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6" fillId="0" borderId="0" applyFont="0" applyFill="0" applyBorder="0" applyAlignment="0" applyProtection="0"/>
    <xf numFmtId="191" fontId="46" fillId="0" borderId="0" applyFont="0" applyFill="0" applyBorder="0" applyAlignment="0" applyProtection="0"/>
    <xf numFmtId="178" fontId="10" fillId="0" borderId="0">
      <protection locked="0"/>
    </xf>
    <xf numFmtId="197" fontId="6" fillId="0" borderId="0" applyFont="0" applyFill="0" applyBorder="0" applyAlignment="0" applyProtection="0"/>
    <xf numFmtId="198" fontId="2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4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46" fillId="0" borderId="0" applyFont="0" applyFill="0" applyBorder="0" applyAlignment="0" applyProtection="0"/>
    <xf numFmtId="194" fontId="4" fillId="0" borderId="0" applyFont="0" applyFill="0" applyBorder="0" applyAlignment="0" applyProtection="0"/>
    <xf numFmtId="194" fontId="4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4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4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46" fillId="0" borderId="0" applyFont="0" applyFill="0" applyBorder="0" applyAlignment="0" applyProtection="0"/>
    <xf numFmtId="199" fontId="6" fillId="0" borderId="0" applyFont="0" applyFill="0" applyBorder="0" applyAlignment="0" applyProtection="0"/>
    <xf numFmtId="199" fontId="46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90" fontId="6" fillId="0" borderId="0" applyFont="0" applyFill="0" applyBorder="0" applyAlignment="0" applyProtection="0"/>
    <xf numFmtId="190" fontId="46" fillId="0" borderId="0" applyFont="0" applyFill="0" applyBorder="0" applyAlignment="0" applyProtection="0"/>
    <xf numFmtId="200" fontId="47" fillId="0" borderId="0" applyFont="0" applyFill="0" applyBorder="0" applyAlignment="0" applyProtection="0"/>
    <xf numFmtId="200" fontId="47" fillId="0" borderId="0" applyFont="0" applyFill="0" applyBorder="0" applyAlignment="0" applyProtection="0"/>
    <xf numFmtId="201" fontId="47" fillId="0" borderId="0" applyFont="0" applyFill="0" applyBorder="0" applyAlignment="0" applyProtection="0"/>
    <xf numFmtId="201" fontId="47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4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46" fillId="0" borderId="0" applyFon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178" fontId="10" fillId="0" borderId="0">
      <protection locked="0"/>
    </xf>
    <xf numFmtId="178" fontId="10" fillId="0" borderId="0">
      <protection locked="0"/>
    </xf>
    <xf numFmtId="202" fontId="6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46" fillId="0" borderId="0" applyFont="0" applyFill="0" applyBorder="0" applyAlignment="0" applyProtection="0"/>
    <xf numFmtId="38" fontId="4" fillId="0" borderId="0" applyFont="0" applyFill="0" applyBorder="0" applyAlignment="0" applyProtection="0"/>
    <xf numFmtId="38" fontId="4" fillId="0" borderId="0" applyFont="0" applyFill="0" applyBorder="0" applyAlignment="0" applyProtection="0"/>
    <xf numFmtId="203" fontId="6" fillId="0" borderId="0" applyFont="0" applyFill="0" applyBorder="0" applyAlignment="0" applyProtection="0"/>
    <xf numFmtId="203" fontId="46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46" fillId="0" borderId="0" applyFont="0" applyFill="0" applyBorder="0" applyAlignment="0" applyProtection="0"/>
    <xf numFmtId="178" fontId="10" fillId="0" borderId="0">
      <protection locked="0"/>
    </xf>
    <xf numFmtId="204" fontId="6" fillId="0" borderId="0" applyFont="0" applyFill="0" applyBorder="0" applyAlignment="0" applyProtection="0"/>
    <xf numFmtId="205" fontId="2" fillId="0" borderId="0" applyFont="0" applyFill="0" applyBorder="0" applyAlignment="0" applyProtection="0"/>
    <xf numFmtId="204" fontId="6" fillId="0" borderId="0" applyFont="0" applyFill="0" applyBorder="0" applyAlignment="0" applyProtection="0"/>
    <xf numFmtId="204" fontId="46" fillId="0" borderId="0" applyFont="0" applyFill="0" applyBorder="0" applyAlignment="0" applyProtection="0"/>
    <xf numFmtId="204" fontId="6" fillId="0" borderId="0" applyFont="0" applyFill="0" applyBorder="0" applyAlignment="0" applyProtection="0"/>
    <xf numFmtId="204" fontId="46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204" fontId="6" fillId="0" borderId="0" applyFont="0" applyFill="0" applyBorder="0" applyAlignment="0" applyProtection="0"/>
    <xf numFmtId="204" fontId="46" fillId="0" borderId="0" applyFont="0" applyFill="0" applyBorder="0" applyAlignment="0" applyProtection="0"/>
    <xf numFmtId="204" fontId="6" fillId="0" borderId="0" applyFont="0" applyFill="0" applyBorder="0" applyAlignment="0" applyProtection="0"/>
    <xf numFmtId="204" fontId="46" fillId="0" borderId="0" applyFont="0" applyFill="0" applyBorder="0" applyAlignment="0" applyProtection="0"/>
    <xf numFmtId="204" fontId="6" fillId="0" borderId="0" applyFont="0" applyFill="0" applyBorder="0" applyAlignment="0" applyProtection="0"/>
    <xf numFmtId="204" fontId="46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206" fontId="6" fillId="0" borderId="0" applyFont="0" applyFill="0" applyBorder="0" applyAlignment="0" applyProtection="0"/>
    <xf numFmtId="206" fontId="46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204" fontId="6" fillId="0" borderId="0" applyFont="0" applyFill="0" applyBorder="0" applyAlignment="0" applyProtection="0"/>
    <xf numFmtId="204" fontId="46" fillId="0" borderId="0" applyFont="0" applyFill="0" applyBorder="0" applyAlignment="0" applyProtection="0"/>
    <xf numFmtId="204" fontId="6" fillId="0" borderId="0" applyFont="0" applyFill="0" applyBorder="0" applyAlignment="0" applyProtection="0"/>
    <xf numFmtId="204" fontId="46" fillId="0" borderId="0" applyFont="0" applyFill="0" applyBorder="0" applyAlignment="0" applyProtection="0"/>
    <xf numFmtId="207" fontId="11" fillId="0" borderId="0">
      <alignment horizontal="right"/>
      <protection locked="0"/>
    </xf>
    <xf numFmtId="208" fontId="1" fillId="0" borderId="0" applyFont="0" applyFill="0" applyBorder="0" applyAlignment="0" applyProtection="0"/>
    <xf numFmtId="178" fontId="10" fillId="0" borderId="0">
      <protection locked="0"/>
    </xf>
    <xf numFmtId="0" fontId="49" fillId="0" borderId="0"/>
    <xf numFmtId="0" fontId="50" fillId="0" borderId="0"/>
    <xf numFmtId="0" fontId="51" fillId="0" borderId="0"/>
    <xf numFmtId="0" fontId="50" fillId="0" borderId="0"/>
    <xf numFmtId="0" fontId="4" fillId="0" borderId="0"/>
    <xf numFmtId="0" fontId="4" fillId="0" borderId="0"/>
    <xf numFmtId="0" fontId="6" fillId="0" borderId="0"/>
    <xf numFmtId="0" fontId="46" fillId="0" borderId="0"/>
    <xf numFmtId="0" fontId="52" fillId="0" borderId="0"/>
    <xf numFmtId="0" fontId="53" fillId="0" borderId="0"/>
    <xf numFmtId="209" fontId="8" fillId="0" borderId="0"/>
    <xf numFmtId="209" fontId="8" fillId="0" borderId="0"/>
    <xf numFmtId="0" fontId="49" fillId="0" borderId="0"/>
    <xf numFmtId="0" fontId="54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1" fillId="0" borderId="0"/>
    <xf numFmtId="0" fontId="50" fillId="0" borderId="0"/>
    <xf numFmtId="0" fontId="1" fillId="0" borderId="0" applyFill="0" applyBorder="0" applyAlignment="0"/>
    <xf numFmtId="210" fontId="1" fillId="16" borderId="0" applyNumberFormat="0" applyFont="0" applyBorder="0" applyAlignment="0">
      <protection locked="0"/>
    </xf>
    <xf numFmtId="0" fontId="55" fillId="0" borderId="0"/>
    <xf numFmtId="4" fontId="21" fillId="0" borderId="0">
      <protection locked="0"/>
    </xf>
    <xf numFmtId="3" fontId="4" fillId="0" borderId="0" applyFont="0" applyFill="0" applyBorder="0" applyAlignment="0" applyProtection="0"/>
    <xf numFmtId="211" fontId="1" fillId="0" borderId="0"/>
    <xf numFmtId="178" fontId="10" fillId="0" borderId="0">
      <protection locked="0"/>
    </xf>
    <xf numFmtId="212" fontId="1" fillId="0" borderId="0" applyFont="0" applyFill="0" applyBorder="0" applyAlignment="0" applyProtection="0"/>
    <xf numFmtId="213" fontId="24" fillId="0" borderId="0">
      <protection locked="0"/>
    </xf>
    <xf numFmtId="190" fontId="4" fillId="0" borderId="0" applyFont="0" applyFill="0" applyBorder="0" applyAlignment="0" applyProtection="0"/>
    <xf numFmtId="179" fontId="5" fillId="0" borderId="3" applyFill="0" applyBorder="0" applyAlignment="0"/>
    <xf numFmtId="178" fontId="10" fillId="0" borderId="0">
      <protection locked="0"/>
    </xf>
    <xf numFmtId="0" fontId="1" fillId="0" borderId="0"/>
    <xf numFmtId="214" fontId="24" fillId="0" borderId="0">
      <protection locked="0"/>
    </xf>
    <xf numFmtId="215" fontId="1" fillId="0" borderId="0"/>
    <xf numFmtId="195" fontId="56" fillId="0" borderId="0" applyFill="0" applyBorder="0" applyAlignment="0" applyProtection="0"/>
    <xf numFmtId="216" fontId="1" fillId="0" borderId="0" applyFont="0" applyFill="0" applyBorder="0" applyAlignment="0" applyProtection="0"/>
    <xf numFmtId="217" fontId="24" fillId="0" borderId="0">
      <protection locked="0"/>
    </xf>
    <xf numFmtId="38" fontId="57" fillId="17" borderId="0" applyNumberFormat="0" applyBorder="0" applyAlignment="0" applyProtection="0"/>
    <xf numFmtId="0" fontId="58" fillId="0" borderId="0">
      <alignment horizontal="left"/>
    </xf>
    <xf numFmtId="0" fontId="59" fillId="0" borderId="4" applyNumberFormat="0" applyAlignment="0" applyProtection="0">
      <alignment horizontal="left" vertical="center"/>
    </xf>
    <xf numFmtId="0" fontId="59" fillId="0" borderId="5">
      <alignment horizontal="left" vertical="center"/>
    </xf>
    <xf numFmtId="14" fontId="60" fillId="18" borderId="2">
      <alignment horizontal="center" vertical="center" wrapText="1"/>
    </xf>
    <xf numFmtId="218" fontId="24" fillId="0" borderId="0">
      <protection locked="0"/>
    </xf>
    <xf numFmtId="218" fontId="24" fillId="0" borderId="0">
      <protection locked="0"/>
    </xf>
    <xf numFmtId="0" fontId="61" fillId="0" borderId="6" applyNumberFormat="0" applyFill="0" applyBorder="0" applyAlignment="0" applyProtection="0">
      <alignment horizontal="left"/>
    </xf>
    <xf numFmtId="0" fontId="62" fillId="0" borderId="0" applyNumberFormat="0" applyFill="0" applyBorder="0" applyAlignment="0" applyProtection="0"/>
    <xf numFmtId="0" fontId="63" fillId="19" borderId="7" applyNumberFormat="0" applyFont="0" applyBorder="0" applyAlignment="0">
      <alignment horizontal="center"/>
      <protection locked="0"/>
    </xf>
    <xf numFmtId="10" fontId="57" fillId="17" borderId="3" applyNumberFormat="0" applyBorder="0" applyAlignment="0" applyProtection="0"/>
    <xf numFmtId="0" fontId="64" fillId="0" borderId="0" applyNumberFormat="0" applyFill="0" applyBorder="0" applyAlignment="0">
      <protection locked="0"/>
    </xf>
    <xf numFmtId="219" fontId="1" fillId="0" borderId="0" applyFont="0" applyFill="0" applyBorder="0" applyAlignment="0" applyProtection="0"/>
    <xf numFmtId="220" fontId="1" fillId="0" borderId="0" applyFont="0" applyFill="0" applyBorder="0" applyAlignment="0" applyProtection="0"/>
    <xf numFmtId="0" fontId="65" fillId="17" borderId="8">
      <alignment horizontal="left" vertical="top" indent="2"/>
    </xf>
    <xf numFmtId="0" fontId="66" fillId="0" borderId="2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21" fontId="1" fillId="0" borderId="0" applyFont="0" applyFill="0" applyBorder="0" applyAlignment="0" applyProtection="0"/>
    <xf numFmtId="222" fontId="1" fillId="0" borderId="0" applyFont="0" applyFill="0" applyBorder="0" applyAlignment="0" applyProtection="0"/>
    <xf numFmtId="37" fontId="67" fillId="0" borderId="0"/>
    <xf numFmtId="223" fontId="5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78" fontId="10" fillId="0" borderId="0">
      <protection locked="0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0" fontId="69" fillId="17" borderId="0">
      <alignment horizontal="right"/>
    </xf>
    <xf numFmtId="0" fontId="70" fillId="17" borderId="0">
      <alignment horizontal="right"/>
    </xf>
    <xf numFmtId="0" fontId="71" fillId="17" borderId="9"/>
    <xf numFmtId="0" fontId="71" fillId="0" borderId="0" applyBorder="0">
      <alignment horizontal="centerContinuous"/>
    </xf>
    <xf numFmtId="0" fontId="72" fillId="0" borderId="0" applyBorder="0">
      <alignment horizontal="centerContinuous"/>
    </xf>
    <xf numFmtId="0" fontId="73" fillId="17" borderId="0"/>
    <xf numFmtId="0" fontId="74" fillId="17" borderId="2"/>
    <xf numFmtId="203" fontId="9" fillId="0" borderId="0"/>
    <xf numFmtId="224" fontId="24" fillId="0" borderId="0">
      <protection locked="0"/>
    </xf>
    <xf numFmtId="225" fontId="24" fillId="0" borderId="0" applyFont="0" applyFill="0" applyBorder="0" applyAlignment="0" applyProtection="0"/>
    <xf numFmtId="10" fontId="2" fillId="0" borderId="0" applyFont="0" applyFill="0" applyBorder="0" applyAlignment="0" applyProtection="0"/>
    <xf numFmtId="224" fontId="24" fillId="0" borderId="0">
      <protection locked="0"/>
    </xf>
    <xf numFmtId="226" fontId="1" fillId="0" borderId="0" applyFont="0" applyFill="0" applyBorder="0" applyAlignment="0" applyProtection="0"/>
    <xf numFmtId="0" fontId="5" fillId="0" borderId="0"/>
    <xf numFmtId="195" fontId="75" fillId="0" borderId="0" applyFill="0" applyBorder="0" applyAlignment="0" applyProtection="0"/>
    <xf numFmtId="0" fontId="66" fillId="0" borderId="0"/>
    <xf numFmtId="0" fontId="76" fillId="0" borderId="0" applyFill="0" applyBorder="0" applyProtection="0">
      <alignment horizontal="left" vertical="top"/>
    </xf>
    <xf numFmtId="0" fontId="77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218" fontId="24" fillId="0" borderId="10">
      <protection locked="0"/>
    </xf>
    <xf numFmtId="227" fontId="1" fillId="0" borderId="0" applyFont="0" applyFill="0" applyBorder="0" applyAlignment="0" applyProtection="0"/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179" fontId="14" fillId="17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4" borderId="11" applyNumberFormat="0" applyAlignment="0" applyProtection="0">
      <alignment vertical="center"/>
    </xf>
    <xf numFmtId="180" fontId="17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81" fontId="8" fillId="0" borderId="0"/>
    <xf numFmtId="181" fontId="8" fillId="0" borderId="0"/>
    <xf numFmtId="181" fontId="8" fillId="0" borderId="0"/>
    <xf numFmtId="181" fontId="8" fillId="0" borderId="0"/>
    <xf numFmtId="181" fontId="8" fillId="0" borderId="0"/>
    <xf numFmtId="181" fontId="8" fillId="0" borderId="0"/>
    <xf numFmtId="181" fontId="8" fillId="0" borderId="0"/>
    <xf numFmtId="181" fontId="8" fillId="0" borderId="0"/>
    <xf numFmtId="181" fontId="8" fillId="0" borderId="0"/>
    <xf numFmtId="181" fontId="8" fillId="0" borderId="0"/>
    <xf numFmtId="181" fontId="8" fillId="0" borderId="0"/>
    <xf numFmtId="0" fontId="19" fillId="0" borderId="0"/>
    <xf numFmtId="182" fontId="2" fillId="0" borderId="3">
      <alignment horizontal="right" vertical="center" shrinkToFit="1"/>
    </xf>
    <xf numFmtId="0" fontId="20" fillId="3" borderId="0" applyNumberFormat="0" applyBorder="0" applyAlignment="0" applyProtection="0">
      <alignment vertical="center"/>
    </xf>
    <xf numFmtId="0" fontId="21" fillId="0" borderId="0">
      <protection locked="0"/>
    </xf>
    <xf numFmtId="0" fontId="21" fillId="0" borderId="0"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40" fontId="23" fillId="0" borderId="0" applyFont="0" applyFill="0" applyBorder="0" applyAlignment="0" applyProtection="0"/>
    <xf numFmtId="38" fontId="23" fillId="0" borderId="0" applyFont="0" applyFill="0" applyBorder="0" applyAlignment="0" applyProtection="0"/>
    <xf numFmtId="0" fontId="1" fillId="25" borderId="12" applyNumberFormat="0" applyFont="0" applyAlignment="0" applyProtection="0">
      <alignment vertical="center"/>
    </xf>
    <xf numFmtId="183" fontId="5" fillId="0" borderId="0">
      <alignment vertical="center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84" fontId="24" fillId="0" borderId="3" applyFont="0" applyBorder="0" applyAlignment="0">
      <alignment horizontal="center" vertical="center"/>
    </xf>
    <xf numFmtId="0" fontId="25" fillId="26" borderId="0" applyNumberFormat="0" applyBorder="0" applyAlignment="0" applyProtection="0">
      <alignment vertical="center"/>
    </xf>
    <xf numFmtId="0" fontId="26" fillId="0" borderId="0"/>
    <xf numFmtId="0" fontId="5" fillId="0" borderId="0" applyBorder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8" fillId="27" borderId="13" applyNumberFormat="0" applyAlignment="0" applyProtection="0">
      <alignment vertical="center"/>
    </xf>
    <xf numFmtId="179" fontId="29" fillId="17" borderId="3">
      <alignment horizontal="right" vertical="center"/>
      <protection locked="0"/>
    </xf>
    <xf numFmtId="41" fontId="1" fillId="0" borderId="0" applyFont="0" applyFill="0" applyBorder="0" applyAlignment="0" applyProtection="0">
      <alignment vertical="center"/>
    </xf>
    <xf numFmtId="0" fontId="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30" fillId="0" borderId="14"/>
    <xf numFmtId="0" fontId="31" fillId="0" borderId="15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185" fontId="33" fillId="0" borderId="0" applyFont="0" applyFill="0" applyBorder="0" applyAlignment="0" applyProtection="0"/>
    <xf numFmtId="186" fontId="34" fillId="0" borderId="0" applyFont="0" applyFill="0" applyBorder="0" applyAlignment="0" applyProtection="0"/>
    <xf numFmtId="187" fontId="35" fillId="0" borderId="0" applyFill="0" applyBorder="0" applyProtection="0">
      <alignment horizontal="right"/>
    </xf>
    <xf numFmtId="0" fontId="36" fillId="7" borderId="11" applyNumberFormat="0" applyAlignment="0" applyProtection="0">
      <alignment vertical="center"/>
    </xf>
    <xf numFmtId="4" fontId="37" fillId="0" borderId="0" applyFont="0" applyFill="0" applyBorder="0" applyAlignment="0" applyProtection="0"/>
    <xf numFmtId="3" fontId="37" fillId="0" borderId="0" applyFont="0" applyFill="0" applyBorder="0" applyAlignment="0" applyProtection="0"/>
    <xf numFmtId="0" fontId="38" fillId="0" borderId="0" applyNumberFormat="0" applyFill="0" applyBorder="0" applyAlignment="0" applyProtection="0">
      <alignment vertical="center"/>
    </xf>
    <xf numFmtId="0" fontId="39" fillId="0" borderId="17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183" fontId="5" fillId="0" borderId="0">
      <alignment vertical="center"/>
    </xf>
    <xf numFmtId="183" fontId="5" fillId="0" borderId="0">
      <alignment vertical="center"/>
    </xf>
    <xf numFmtId="188" fontId="2" fillId="0" borderId="0" applyFill="0" applyBorder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5" fillId="0" borderId="0"/>
    <xf numFmtId="0" fontId="43" fillId="24" borderId="20" applyNumberFormat="0" applyAlignment="0" applyProtection="0">
      <alignment vertical="center"/>
    </xf>
    <xf numFmtId="0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9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0" fontId="45" fillId="28" borderId="21"/>
    <xf numFmtId="9" fontId="37" fillId="0" borderId="0" applyFont="0" applyFill="0" applyBorder="0" applyAlignment="0" applyProtection="0"/>
    <xf numFmtId="0" fontId="1" fillId="0" borderId="0"/>
    <xf numFmtId="0" fontId="1" fillId="0" borderId="0"/>
    <xf numFmtId="0" fontId="21" fillId="0" borderId="22">
      <protection locked="0"/>
    </xf>
    <xf numFmtId="40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179" fontId="14" fillId="0" borderId="0">
      <alignment horizontal="right" vertical="center"/>
    </xf>
    <xf numFmtId="0" fontId="1" fillId="0" borderId="0"/>
    <xf numFmtId="41" fontId="1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" fillId="0" borderId="0">
      <alignment vertical="center"/>
    </xf>
    <xf numFmtId="0" fontId="112" fillId="0" borderId="0">
      <alignment vertical="center"/>
    </xf>
    <xf numFmtId="0" fontId="29" fillId="0" borderId="0">
      <alignment vertical="center"/>
    </xf>
    <xf numFmtId="0" fontId="112" fillId="0" borderId="0">
      <alignment vertical="center"/>
    </xf>
  </cellStyleXfs>
  <cellXfs count="350">
    <xf numFmtId="0" fontId="0" fillId="0" borderId="0" xfId="0">
      <alignment vertical="center"/>
    </xf>
    <xf numFmtId="0" fontId="90" fillId="0" borderId="0" xfId="0" applyFont="1" applyAlignment="1">
      <alignment horizontal="left" vertical="center"/>
    </xf>
    <xf numFmtId="0" fontId="87" fillId="0" borderId="0" xfId="0" applyFont="1" applyProtection="1">
      <alignment vertical="center"/>
    </xf>
    <xf numFmtId="0" fontId="88" fillId="0" borderId="0" xfId="0" applyFont="1" applyProtection="1">
      <alignment vertical="center"/>
    </xf>
    <xf numFmtId="0" fontId="90" fillId="0" borderId="0" xfId="0" applyFont="1" applyProtection="1">
      <alignment vertical="center"/>
    </xf>
    <xf numFmtId="0" fontId="91" fillId="0" borderId="0" xfId="0" applyFont="1" applyBorder="1" applyAlignment="1">
      <alignment vertical="center"/>
    </xf>
    <xf numFmtId="0" fontId="88" fillId="0" borderId="0" xfId="0" applyFont="1" applyBorder="1" applyAlignment="1">
      <alignment horizontal="center" vertical="center" wrapText="1"/>
    </xf>
    <xf numFmtId="0" fontId="88" fillId="0" borderId="0" xfId="0" applyFont="1" applyBorder="1" applyAlignment="1" applyProtection="1">
      <alignment horizontal="center" vertical="center" wrapText="1"/>
      <protection locked="0"/>
    </xf>
    <xf numFmtId="0" fontId="90" fillId="0" borderId="0" xfId="0" applyFont="1">
      <alignment vertical="center"/>
    </xf>
    <xf numFmtId="0" fontId="88" fillId="0" borderId="0" xfId="0" applyFont="1" applyAlignment="1">
      <alignment horizontal="center" vertical="center"/>
    </xf>
    <xf numFmtId="41" fontId="88" fillId="0" borderId="3" xfId="334" applyFont="1" applyBorder="1" applyProtection="1">
      <alignment vertical="center"/>
      <protection locked="0"/>
    </xf>
    <xf numFmtId="41" fontId="88" fillId="0" borderId="0" xfId="334" applyFont="1" applyFill="1" applyBorder="1" applyAlignment="1" applyProtection="1">
      <alignment horizontal="center" vertical="center"/>
    </xf>
    <xf numFmtId="0" fontId="88" fillId="0" borderId="0" xfId="0" applyFont="1" applyBorder="1" applyAlignment="1" applyProtection="1">
      <alignment horizontal="center" vertical="center" wrapText="1"/>
    </xf>
    <xf numFmtId="41" fontId="88" fillId="0" borderId="0" xfId="334" applyFont="1" applyBorder="1" applyProtection="1">
      <alignment vertical="center"/>
    </xf>
    <xf numFmtId="0" fontId="94" fillId="0" borderId="0" xfId="0" applyFont="1">
      <alignment vertical="center"/>
    </xf>
    <xf numFmtId="0" fontId="88" fillId="0" borderId="0" xfId="0" applyFont="1" applyAlignment="1">
      <alignment vertical="center" wrapText="1"/>
    </xf>
    <xf numFmtId="0" fontId="97" fillId="0" borderId="0" xfId="0" applyFont="1">
      <alignment vertical="center"/>
    </xf>
    <xf numFmtId="0" fontId="98" fillId="0" borderId="0" xfId="0" applyFont="1">
      <alignment vertical="center"/>
    </xf>
    <xf numFmtId="0" fontId="95" fillId="0" borderId="0" xfId="0" applyFont="1">
      <alignment vertical="center"/>
    </xf>
    <xf numFmtId="0" fontId="99" fillId="0" borderId="0" xfId="0" applyFont="1" applyFill="1" applyAlignment="1">
      <alignment horizontal="left" vertical="center"/>
    </xf>
    <xf numFmtId="0" fontId="95" fillId="0" borderId="3" xfId="0" applyFont="1" applyBorder="1" applyProtection="1">
      <alignment vertical="center"/>
      <protection locked="0"/>
    </xf>
    <xf numFmtId="0" fontId="101" fillId="0" borderId="0" xfId="0" applyFont="1" applyFill="1" applyBorder="1" applyAlignment="1">
      <alignment horizontal="left" vertical="center"/>
    </xf>
    <xf numFmtId="0" fontId="95" fillId="0" borderId="0" xfId="0" applyFont="1" applyFill="1" applyBorder="1" applyAlignment="1">
      <alignment horizontal="left" vertical="center"/>
    </xf>
    <xf numFmtId="0" fontId="95" fillId="0" borderId="0" xfId="0" applyFont="1" applyFill="1" applyBorder="1">
      <alignment vertical="center"/>
    </xf>
    <xf numFmtId="0" fontId="99" fillId="0" borderId="0" xfId="0" applyFont="1" applyFill="1" applyBorder="1" applyAlignment="1">
      <alignment horizontal="right" vertical="center"/>
    </xf>
    <xf numFmtId="0" fontId="102" fillId="0" borderId="0" xfId="369" applyFont="1" applyFill="1"/>
    <xf numFmtId="0" fontId="103" fillId="0" borderId="0" xfId="369" applyFont="1" applyFill="1"/>
    <xf numFmtId="0" fontId="95" fillId="0" borderId="0" xfId="0" applyFont="1" applyFill="1">
      <alignment vertical="center"/>
    </xf>
    <xf numFmtId="0" fontId="99" fillId="0" borderId="0" xfId="0" applyFont="1" applyAlignment="1">
      <alignment horizontal="left" vertical="center"/>
    </xf>
    <xf numFmtId="0" fontId="104" fillId="0" borderId="0" xfId="0" applyFont="1" applyAlignment="1">
      <alignment horizontal="left" vertical="center"/>
    </xf>
    <xf numFmtId="0" fontId="99" fillId="0" borderId="0" xfId="0" applyFont="1">
      <alignment vertical="center"/>
    </xf>
    <xf numFmtId="0" fontId="99" fillId="0" borderId="0" xfId="0" applyFont="1" applyFill="1" applyBorder="1" applyAlignment="1">
      <alignment horizontal="center" vertical="center"/>
    </xf>
    <xf numFmtId="0" fontId="95" fillId="0" borderId="0" xfId="0" applyFont="1" applyFill="1" applyBorder="1" applyProtection="1">
      <alignment vertical="center"/>
      <protection locked="0"/>
    </xf>
    <xf numFmtId="0" fontId="100" fillId="0" borderId="0" xfId="0" applyFont="1" applyFill="1">
      <alignment vertical="center"/>
    </xf>
    <xf numFmtId="0" fontId="94" fillId="0" borderId="0" xfId="369" applyFont="1" applyFill="1"/>
    <xf numFmtId="0" fontId="90" fillId="0" borderId="0" xfId="0" applyFont="1" applyAlignment="1" applyProtection="1">
      <alignment horizontal="right" vertical="center"/>
    </xf>
    <xf numFmtId="41" fontId="83" fillId="0" borderId="3" xfId="334" applyFont="1" applyBorder="1" applyProtection="1">
      <alignment vertical="center"/>
      <protection locked="0"/>
    </xf>
    <xf numFmtId="0" fontId="97" fillId="0" borderId="0" xfId="0" applyFont="1" applyAlignment="1">
      <alignment vertical="center"/>
    </xf>
    <xf numFmtId="0" fontId="88" fillId="0" borderId="0" xfId="0" applyFont="1">
      <alignment vertical="center"/>
    </xf>
    <xf numFmtId="0" fontId="85" fillId="0" borderId="0" xfId="0" applyFont="1" applyAlignment="1">
      <alignment vertical="center"/>
    </xf>
    <xf numFmtId="0" fontId="86" fillId="0" borderId="0" xfId="0" applyFont="1" applyAlignment="1">
      <alignment horizontal="left" vertical="center"/>
    </xf>
    <xf numFmtId="0" fontId="106" fillId="0" borderId="0" xfId="0" applyFont="1" applyAlignment="1">
      <alignment horizontal="justify" vertical="center"/>
    </xf>
    <xf numFmtId="0" fontId="105" fillId="0" borderId="0" xfId="0" applyFont="1">
      <alignment vertical="center"/>
    </xf>
    <xf numFmtId="0" fontId="99" fillId="29" borderId="3" xfId="0" applyFont="1" applyFill="1" applyBorder="1" applyAlignment="1">
      <alignment horizontal="center" vertical="center"/>
    </xf>
    <xf numFmtId="0" fontId="95" fillId="0" borderId="3" xfId="0" applyFont="1" applyFill="1" applyBorder="1" applyProtection="1">
      <alignment vertical="center"/>
      <protection locked="0"/>
    </xf>
    <xf numFmtId="0" fontId="83" fillId="0" borderId="3" xfId="0" applyFont="1" applyBorder="1" applyAlignment="1" applyProtection="1">
      <alignment horizontal="center" vertical="center" wrapText="1"/>
      <protection locked="0"/>
    </xf>
    <xf numFmtId="0" fontId="97" fillId="0" borderId="0" xfId="0" applyFont="1" applyAlignment="1">
      <alignment horizontal="center" vertical="center"/>
    </xf>
    <xf numFmtId="0" fontId="96" fillId="0" borderId="0" xfId="0" applyFont="1" applyAlignment="1">
      <alignment horizontal="left" vertical="center"/>
    </xf>
    <xf numFmtId="0" fontId="88" fillId="0" borderId="3" xfId="0" applyFont="1" applyBorder="1" applyAlignment="1" applyProtection="1">
      <alignment vertical="center" wrapText="1"/>
      <protection locked="0"/>
    </xf>
    <xf numFmtId="0" fontId="89" fillId="29" borderId="32" xfId="0" applyFont="1" applyFill="1" applyBorder="1" applyAlignment="1" applyProtection="1">
      <alignment horizontal="center" vertical="center"/>
    </xf>
    <xf numFmtId="0" fontId="89" fillId="29" borderId="26" xfId="0" applyFont="1" applyFill="1" applyBorder="1" applyAlignment="1" applyProtection="1">
      <alignment horizontal="center" vertical="center"/>
    </xf>
    <xf numFmtId="0" fontId="89" fillId="29" borderId="31" xfId="0" applyFont="1" applyFill="1" applyBorder="1" applyAlignment="1" applyProtection="1">
      <alignment horizontal="center" vertical="center"/>
    </xf>
    <xf numFmtId="0" fontId="88" fillId="0" borderId="30" xfId="0" applyFont="1" applyBorder="1" applyAlignment="1" applyProtection="1">
      <alignment horizontal="center" vertical="center" wrapText="1"/>
      <protection locked="0"/>
    </xf>
    <xf numFmtId="41" fontId="88" fillId="0" borderId="3" xfId="334" applyFont="1" applyFill="1" applyBorder="1" applyAlignment="1" applyProtection="1">
      <alignment horizontal="center" vertical="center"/>
      <protection locked="0"/>
    </xf>
    <xf numFmtId="10" fontId="88" fillId="0" borderId="31" xfId="334" applyNumberFormat="1" applyFont="1" applyBorder="1" applyProtection="1">
      <alignment vertical="center"/>
    </xf>
    <xf numFmtId="0" fontId="87" fillId="0" borderId="0" xfId="0" applyFont="1" applyAlignment="1">
      <alignment vertical="center"/>
    </xf>
    <xf numFmtId="0" fontId="88" fillId="0" borderId="0" xfId="0" applyFont="1" applyBorder="1" applyAlignment="1" applyProtection="1">
      <alignment horizontal="center" vertical="center"/>
      <protection locked="0"/>
    </xf>
    <xf numFmtId="0" fontId="88" fillId="0" borderId="0" xfId="0" applyFont="1" applyBorder="1" applyAlignment="1" applyProtection="1">
      <alignment vertical="center"/>
      <protection locked="0"/>
    </xf>
    <xf numFmtId="0" fontId="95" fillId="0" borderId="23" xfId="0" applyFont="1" applyFill="1" applyBorder="1" applyProtection="1">
      <alignment vertical="center"/>
      <protection locked="0"/>
    </xf>
    <xf numFmtId="0" fontId="95" fillId="0" borderId="24" xfId="0" applyFont="1" applyFill="1" applyBorder="1" applyProtection="1">
      <alignment vertical="center"/>
      <protection locked="0"/>
    </xf>
    <xf numFmtId="0" fontId="108" fillId="0" borderId="0" xfId="0" applyFont="1" applyAlignment="1">
      <alignment horizontal="justify" vertical="center"/>
    </xf>
    <xf numFmtId="0" fontId="109" fillId="0" borderId="0" xfId="0" applyFont="1" applyAlignment="1">
      <alignment horizontal="left" vertical="center"/>
    </xf>
    <xf numFmtId="0" fontId="110" fillId="0" borderId="0" xfId="0" applyFont="1">
      <alignment vertical="center"/>
    </xf>
    <xf numFmtId="0" fontId="94" fillId="0" borderId="0" xfId="0" applyFont="1" applyFill="1">
      <alignment vertical="center"/>
    </xf>
    <xf numFmtId="0" fontId="111" fillId="0" borderId="0" xfId="0" applyFont="1" applyAlignment="1">
      <alignment horizontal="justify" vertical="center"/>
    </xf>
    <xf numFmtId="0" fontId="94" fillId="0" borderId="0" xfId="0" applyFont="1" applyAlignment="1">
      <alignment vertical="center"/>
    </xf>
    <xf numFmtId="0" fontId="94" fillId="0" borderId="0" xfId="0" applyFont="1" applyAlignment="1">
      <alignment horizontal="left" vertical="center"/>
    </xf>
    <xf numFmtId="0" fontId="82" fillId="0" borderId="0" xfId="0" applyFont="1" applyAlignment="1">
      <alignment vertical="center"/>
    </xf>
    <xf numFmtId="0" fontId="95" fillId="0" borderId="3" xfId="0" applyFont="1" applyFill="1" applyBorder="1" applyAlignment="1">
      <alignment horizontal="center" vertical="center"/>
    </xf>
    <xf numFmtId="0" fontId="95" fillId="0" borderId="30" xfId="0" applyFont="1" applyBorder="1" applyAlignment="1">
      <alignment horizontal="left" vertical="center"/>
    </xf>
    <xf numFmtId="0" fontId="95" fillId="0" borderId="31" xfId="0" applyFont="1" applyBorder="1" applyAlignment="1">
      <alignment horizontal="left" vertical="center"/>
    </xf>
    <xf numFmtId="0" fontId="88" fillId="0" borderId="0" xfId="0" applyFont="1" applyBorder="1" applyAlignment="1" applyProtection="1">
      <alignment vertical="center" wrapText="1"/>
      <protection locked="0"/>
    </xf>
    <xf numFmtId="0" fontId="90" fillId="0" borderId="0" xfId="369" applyFont="1" applyFill="1" applyBorder="1" applyAlignment="1">
      <alignment vertical="center"/>
    </xf>
    <xf numFmtId="0" fontId="88" fillId="0" borderId="0" xfId="0" applyFont="1">
      <alignment vertical="center"/>
    </xf>
    <xf numFmtId="0" fontId="89" fillId="29" borderId="3" xfId="0" applyFont="1" applyFill="1" applyBorder="1" applyAlignment="1" applyProtection="1">
      <alignment horizontal="center" vertical="center"/>
    </xf>
    <xf numFmtId="0" fontId="89" fillId="29" borderId="3" xfId="0" applyFont="1" applyFill="1" applyBorder="1" applyAlignment="1">
      <alignment horizontal="center" vertical="center" wrapText="1"/>
    </xf>
    <xf numFmtId="0" fontId="88" fillId="0" borderId="0" xfId="0" applyFont="1" applyAlignment="1">
      <alignment vertical="center"/>
    </xf>
    <xf numFmtId="0" fontId="88" fillId="0" borderId="0" xfId="0" applyFont="1">
      <alignment vertical="center"/>
    </xf>
    <xf numFmtId="0" fontId="88" fillId="0" borderId="3" xfId="0" applyFont="1" applyBorder="1" applyAlignment="1" applyProtection="1">
      <alignment horizontal="center" vertical="center" wrapText="1"/>
      <protection locked="0"/>
    </xf>
    <xf numFmtId="0" fontId="113" fillId="0" borderId="0" xfId="0" applyFont="1" applyProtection="1">
      <alignment vertical="center"/>
    </xf>
    <xf numFmtId="0" fontId="113" fillId="0" borderId="0" xfId="0" applyFont="1">
      <alignment vertical="center"/>
    </xf>
    <xf numFmtId="0" fontId="94" fillId="0" borderId="0" xfId="0" applyFont="1" applyAlignment="1">
      <alignment horizontal="left" vertical="center" wrapText="1"/>
    </xf>
    <xf numFmtId="0" fontId="88" fillId="0" borderId="0" xfId="0" applyFont="1">
      <alignment vertical="center"/>
    </xf>
    <xf numFmtId="0" fontId="95" fillId="0" borderId="36" xfId="0" applyFont="1" applyFill="1" applyBorder="1" applyProtection="1">
      <alignment vertical="center"/>
      <protection locked="0"/>
    </xf>
    <xf numFmtId="0" fontId="29" fillId="0" borderId="0" xfId="381">
      <alignment vertical="center"/>
    </xf>
    <xf numFmtId="0" fontId="29" fillId="0" borderId="0" xfId="381" applyFont="1">
      <alignment vertical="center"/>
    </xf>
    <xf numFmtId="0" fontId="114" fillId="0" borderId="0" xfId="381" applyFont="1">
      <alignment vertical="center"/>
    </xf>
    <xf numFmtId="0" fontId="115" fillId="0" borderId="0" xfId="381" applyFont="1">
      <alignment vertical="center"/>
    </xf>
    <xf numFmtId="0" fontId="88" fillId="0" borderId="3" xfId="381" applyFont="1" applyBorder="1" applyAlignment="1">
      <alignment horizontal="center" vertical="center"/>
    </xf>
    <xf numFmtId="0" fontId="88" fillId="0" borderId="30" xfId="381" applyFont="1" applyBorder="1" applyAlignment="1">
      <alignment horizontal="center" vertical="center"/>
    </xf>
    <xf numFmtId="0" fontId="99" fillId="29" borderId="3" xfId="381" applyFont="1" applyFill="1" applyBorder="1" applyAlignment="1">
      <alignment horizontal="center" vertical="center"/>
    </xf>
    <xf numFmtId="0" fontId="113" fillId="0" borderId="0" xfId="0" applyFont="1" applyFill="1">
      <alignment vertical="center"/>
    </xf>
    <xf numFmtId="0" fontId="90" fillId="0" borderId="0" xfId="0" applyFont="1" applyFill="1">
      <alignment vertical="center"/>
    </xf>
    <xf numFmtId="0" fontId="29" fillId="0" borderId="0" xfId="381" applyFill="1">
      <alignment vertical="center"/>
    </xf>
    <xf numFmtId="0" fontId="88" fillId="0" borderId="0" xfId="0" applyFont="1" applyFill="1">
      <alignment vertical="center"/>
    </xf>
    <xf numFmtId="0" fontId="92" fillId="0" borderId="0" xfId="0" applyFont="1">
      <alignment vertical="center"/>
    </xf>
    <xf numFmtId="0" fontId="117" fillId="0" borderId="0" xfId="0" applyFont="1">
      <alignment vertical="center"/>
    </xf>
    <xf numFmtId="0" fontId="89" fillId="0" borderId="0" xfId="0" applyFont="1" applyAlignment="1">
      <alignment horizontal="right" vertical="center"/>
    </xf>
    <xf numFmtId="0" fontId="91" fillId="0" borderId="0" xfId="0" applyFont="1">
      <alignment vertical="center"/>
    </xf>
    <xf numFmtId="0" fontId="88" fillId="0" borderId="0" xfId="0" applyFont="1" applyAlignment="1">
      <alignment horizontal="right" vertical="center"/>
    </xf>
    <xf numFmtId="0" fontId="87" fillId="29" borderId="3" xfId="0" applyFont="1" applyFill="1" applyBorder="1" applyAlignment="1">
      <alignment horizontal="center" vertical="center" wrapText="1"/>
    </xf>
    <xf numFmtId="0" fontId="87" fillId="29" borderId="3" xfId="0" applyFont="1" applyFill="1" applyBorder="1" applyAlignment="1">
      <alignment horizontal="center" vertical="center"/>
    </xf>
    <xf numFmtId="0" fontId="88" fillId="0" borderId="3" xfId="0" applyFont="1" applyBorder="1" applyAlignment="1">
      <alignment horizontal="center" vertical="center"/>
    </xf>
    <xf numFmtId="41" fontId="88" fillId="0" borderId="3" xfId="334" applyFont="1" applyFill="1" applyBorder="1" applyProtection="1">
      <alignment vertical="center"/>
      <protection locked="0"/>
    </xf>
    <xf numFmtId="41" fontId="88" fillId="0" borderId="3" xfId="334" applyFont="1" applyFill="1" applyBorder="1" applyProtection="1">
      <alignment vertical="center"/>
    </xf>
    <xf numFmtId="0" fontId="88" fillId="0" borderId="40" xfId="0" applyFont="1" applyBorder="1" applyAlignment="1">
      <alignment horizontal="left" vertical="center"/>
    </xf>
    <xf numFmtId="41" fontId="88" fillId="0" borderId="23" xfId="334" applyFont="1" applyFill="1" applyBorder="1" applyProtection="1">
      <alignment vertical="center"/>
      <protection locked="0"/>
    </xf>
    <xf numFmtId="41" fontId="88" fillId="0" borderId="23" xfId="334" applyFont="1" applyFill="1" applyBorder="1" applyProtection="1">
      <alignment vertical="center"/>
    </xf>
    <xf numFmtId="0" fontId="88" fillId="0" borderId="42" xfId="0" applyFont="1" applyBorder="1" applyAlignment="1">
      <alignment horizontal="left" vertical="center"/>
    </xf>
    <xf numFmtId="41" fontId="88" fillId="0" borderId="24" xfId="334" applyFont="1" applyFill="1" applyBorder="1" applyProtection="1">
      <alignment vertical="center"/>
      <protection locked="0"/>
    </xf>
    <xf numFmtId="41" fontId="88" fillId="0" borderId="24" xfId="334" applyFont="1" applyFill="1" applyBorder="1" applyProtection="1">
      <alignment vertical="center"/>
    </xf>
    <xf numFmtId="0" fontId="88" fillId="0" borderId="44" xfId="0" applyFont="1" applyBorder="1" applyAlignment="1">
      <alignment horizontal="left" vertical="center"/>
    </xf>
    <xf numFmtId="41" fontId="88" fillId="0" borderId="25" xfId="334" applyFont="1" applyFill="1" applyBorder="1" applyProtection="1">
      <alignment vertical="center"/>
    </xf>
    <xf numFmtId="0" fontId="89" fillId="0" borderId="0" xfId="0" applyFont="1" applyAlignment="1">
      <alignment horizontal="center" vertical="center" wrapText="1"/>
    </xf>
    <xf numFmtId="0" fontId="88" fillId="0" borderId="0" xfId="0" applyFont="1" applyProtection="1">
      <alignment vertical="center"/>
      <protection locked="0"/>
    </xf>
    <xf numFmtId="0" fontId="118" fillId="0" borderId="0" xfId="0" applyFont="1" applyAlignment="1" applyProtection="1">
      <alignment horizontal="center" vertical="center"/>
      <protection locked="0"/>
    </xf>
    <xf numFmtId="0" fontId="87" fillId="0" borderId="0" xfId="0" applyFont="1">
      <alignment vertical="center"/>
    </xf>
    <xf numFmtId="0" fontId="90" fillId="0" borderId="0" xfId="369" applyFont="1" applyAlignment="1">
      <alignment vertical="center"/>
    </xf>
    <xf numFmtId="0" fontId="90" fillId="0" borderId="0" xfId="369" applyFont="1"/>
    <xf numFmtId="0" fontId="90" fillId="0" borderId="0" xfId="0" applyFont="1" applyAlignment="1">
      <alignment horizontal="right" vertical="center"/>
    </xf>
    <xf numFmtId="0" fontId="89" fillId="29" borderId="3" xfId="369" applyFont="1" applyFill="1" applyBorder="1" applyAlignment="1">
      <alignment horizontal="center" vertical="center" wrapText="1"/>
    </xf>
    <xf numFmtId="0" fontId="88" fillId="17" borderId="3" xfId="369" applyFont="1" applyFill="1" applyBorder="1" applyAlignment="1" applyProtection="1">
      <alignment vertical="center"/>
      <protection locked="0"/>
    </xf>
    <xf numFmtId="0" fontId="88" fillId="17" borderId="3" xfId="369" applyFont="1" applyFill="1" applyBorder="1" applyAlignment="1" applyProtection="1">
      <alignment horizontal="center" vertical="center"/>
      <protection locked="0"/>
    </xf>
    <xf numFmtId="0" fontId="88" fillId="17" borderId="0" xfId="369" applyFont="1" applyFill="1" applyAlignment="1" applyProtection="1">
      <alignment vertical="center"/>
      <protection locked="0"/>
    </xf>
    <xf numFmtId="0" fontId="88" fillId="17" borderId="0" xfId="369" applyFont="1" applyFill="1" applyAlignment="1" applyProtection="1">
      <alignment horizontal="center" vertical="center"/>
      <protection locked="0"/>
    </xf>
    <xf numFmtId="0" fontId="89" fillId="0" borderId="0" xfId="0" applyFont="1">
      <alignment vertical="center"/>
    </xf>
    <xf numFmtId="0" fontId="93" fillId="0" borderId="0" xfId="0" applyFont="1" applyAlignment="1">
      <alignment horizontal="right" vertical="center"/>
    </xf>
    <xf numFmtId="41" fontId="88" fillId="17" borderId="3" xfId="334" applyFont="1" applyFill="1" applyBorder="1" applyAlignment="1" applyProtection="1">
      <alignment vertical="center"/>
      <protection locked="0"/>
    </xf>
    <xf numFmtId="41" fontId="88" fillId="17" borderId="3" xfId="334" applyFont="1" applyFill="1" applyBorder="1" applyAlignment="1" applyProtection="1">
      <alignment horizontal="center" vertical="center"/>
      <protection locked="0"/>
    </xf>
    <xf numFmtId="0" fontId="84" fillId="29" borderId="3" xfId="369" applyFont="1" applyFill="1" applyBorder="1" applyAlignment="1">
      <alignment horizontal="center" vertical="center" wrapText="1"/>
    </xf>
    <xf numFmtId="0" fontId="88" fillId="17" borderId="3" xfId="369" applyFont="1" applyFill="1" applyBorder="1" applyAlignment="1" applyProtection="1">
      <alignment vertical="center" wrapText="1"/>
      <protection locked="0"/>
    </xf>
    <xf numFmtId="41" fontId="88" fillId="17" borderId="3" xfId="334" applyFont="1" applyFill="1" applyBorder="1" applyAlignment="1" applyProtection="1">
      <alignment horizontal="center" vertical="center" wrapText="1"/>
      <protection locked="0"/>
    </xf>
    <xf numFmtId="41" fontId="88" fillId="17" borderId="3" xfId="334" quotePrefix="1" applyFont="1" applyFill="1" applyBorder="1" applyAlignment="1" applyProtection="1">
      <alignment horizontal="center" vertical="center"/>
      <protection locked="0"/>
    </xf>
    <xf numFmtId="0" fontId="88" fillId="0" borderId="3" xfId="0" applyFont="1" applyBorder="1">
      <alignment vertical="center"/>
    </xf>
    <xf numFmtId="41" fontId="88" fillId="31" borderId="3" xfId="334" applyFont="1" applyFill="1" applyBorder="1" applyProtection="1">
      <alignment vertical="center"/>
    </xf>
    <xf numFmtId="41" fontId="88" fillId="0" borderId="23" xfId="334" applyFont="1" applyBorder="1" applyProtection="1">
      <alignment vertical="center"/>
      <protection locked="0"/>
    </xf>
    <xf numFmtId="41" fontId="88" fillId="0" borderId="24" xfId="334" applyFont="1" applyBorder="1" applyProtection="1">
      <alignment vertical="center"/>
      <protection locked="0"/>
    </xf>
    <xf numFmtId="41" fontId="88" fillId="31" borderId="25" xfId="334" applyFont="1" applyFill="1" applyBorder="1" applyProtection="1">
      <alignment vertical="center"/>
    </xf>
    <xf numFmtId="41" fontId="88" fillId="0" borderId="0" xfId="334" applyFont="1" applyFill="1" applyBorder="1" applyProtection="1">
      <alignment vertical="center"/>
    </xf>
    <xf numFmtId="0" fontId="119" fillId="0" borderId="0" xfId="0" applyFont="1">
      <alignment vertical="center"/>
    </xf>
    <xf numFmtId="0" fontId="120" fillId="0" borderId="0" xfId="0" applyFont="1">
      <alignment vertical="center"/>
    </xf>
    <xf numFmtId="0" fontId="120" fillId="0" borderId="0" xfId="369" applyFont="1"/>
    <xf numFmtId="0" fontId="89" fillId="29" borderId="31" xfId="0" applyFont="1" applyFill="1" applyBorder="1" applyAlignment="1">
      <alignment horizontal="center" vertical="center"/>
    </xf>
    <xf numFmtId="0" fontId="89" fillId="29" borderId="3" xfId="0" applyFont="1" applyFill="1" applyBorder="1" applyAlignment="1">
      <alignment horizontal="center" vertical="center"/>
    </xf>
    <xf numFmtId="41" fontId="80" fillId="0" borderId="26" xfId="334" applyFont="1" applyBorder="1" applyProtection="1">
      <alignment vertical="center"/>
      <protection locked="0"/>
    </xf>
    <xf numFmtId="41" fontId="88" fillId="0" borderId="26" xfId="334" applyFont="1" applyBorder="1" applyProtection="1">
      <alignment vertical="center"/>
      <protection locked="0"/>
    </xf>
    <xf numFmtId="41" fontId="88" fillId="0" borderId="26" xfId="334" applyFont="1" applyFill="1" applyBorder="1" applyProtection="1">
      <alignment vertical="center"/>
      <protection locked="0"/>
    </xf>
    <xf numFmtId="0" fontId="88" fillId="0" borderId="28" xfId="0" applyFont="1" applyBorder="1" applyAlignment="1">
      <alignment horizontal="center" vertical="center"/>
    </xf>
    <xf numFmtId="0" fontId="88" fillId="0" borderId="44" xfId="0" applyFont="1" applyBorder="1" applyAlignment="1">
      <alignment horizontal="center" vertical="center"/>
    </xf>
    <xf numFmtId="41" fontId="80" fillId="0" borderId="25" xfId="334" applyFont="1" applyFill="1" applyBorder="1" applyProtection="1">
      <alignment vertical="center"/>
      <protection locked="0"/>
    </xf>
    <xf numFmtId="41" fontId="88" fillId="0" borderId="25" xfId="334" applyFont="1" applyFill="1" applyBorder="1" applyProtection="1">
      <alignment vertical="center"/>
      <protection locked="0"/>
    </xf>
    <xf numFmtId="0" fontId="89" fillId="0" borderId="3" xfId="0" applyFont="1" applyBorder="1" applyAlignment="1">
      <alignment horizontal="center" vertical="center"/>
    </xf>
    <xf numFmtId="41" fontId="89" fillId="31" borderId="3" xfId="334" applyFont="1" applyFill="1" applyBorder="1" applyProtection="1">
      <alignment vertical="center"/>
    </xf>
    <xf numFmtId="41" fontId="89" fillId="0" borderId="3" xfId="334" applyFont="1" applyFill="1" applyBorder="1" applyProtection="1">
      <alignment vertical="center"/>
    </xf>
    <xf numFmtId="41" fontId="88" fillId="0" borderId="3" xfId="334" applyFont="1" applyFill="1" applyBorder="1" applyAlignment="1" applyProtection="1">
      <alignment vertical="center"/>
      <protection locked="0"/>
    </xf>
    <xf numFmtId="0" fontId="94" fillId="0" borderId="0" xfId="0" applyFont="1" applyAlignment="1">
      <alignment horizontal="left" vertical="center"/>
    </xf>
    <xf numFmtId="0" fontId="94" fillId="0" borderId="0" xfId="0" applyFont="1" applyAlignment="1">
      <alignment vertical="center"/>
    </xf>
    <xf numFmtId="0" fontId="82" fillId="0" borderId="0" xfId="0" applyFont="1" applyAlignment="1">
      <alignment vertical="center"/>
    </xf>
    <xf numFmtId="0" fontId="95" fillId="0" borderId="3" xfId="0" applyFont="1" applyFill="1" applyBorder="1" applyAlignment="1">
      <alignment horizontal="center" vertical="center"/>
    </xf>
    <xf numFmtId="0" fontId="95" fillId="0" borderId="30" xfId="0" applyFont="1" applyBorder="1" applyAlignment="1">
      <alignment horizontal="left" vertical="center"/>
    </xf>
    <xf numFmtId="0" fontId="95" fillId="0" borderId="31" xfId="0" applyFont="1" applyBorder="1" applyAlignment="1">
      <alignment horizontal="left" vertical="center"/>
    </xf>
    <xf numFmtId="0" fontId="99" fillId="29" borderId="3" xfId="0" applyFont="1" applyFill="1" applyBorder="1" applyAlignment="1">
      <alignment horizontal="center" vertical="center"/>
    </xf>
    <xf numFmtId="0" fontId="89" fillId="29" borderId="3" xfId="0" applyFont="1" applyFill="1" applyBorder="1" applyAlignment="1">
      <alignment horizontal="center" vertical="center" wrapText="1"/>
    </xf>
    <xf numFmtId="0" fontId="90" fillId="0" borderId="0" xfId="0" applyFont="1" applyAlignment="1">
      <alignment horizontal="left" vertical="center"/>
    </xf>
    <xf numFmtId="0" fontId="87" fillId="29" borderId="3" xfId="0" applyFont="1" applyFill="1" applyBorder="1" applyAlignment="1">
      <alignment horizontal="center" vertical="center"/>
    </xf>
    <xf numFmtId="0" fontId="87" fillId="29" borderId="3" xfId="0" applyFont="1" applyFill="1" applyBorder="1" applyAlignment="1">
      <alignment horizontal="center" vertical="center" wrapText="1"/>
    </xf>
    <xf numFmtId="0" fontId="89" fillId="29" borderId="3" xfId="0" applyFont="1" applyFill="1" applyBorder="1" applyAlignment="1">
      <alignment horizontal="center" vertical="center"/>
    </xf>
    <xf numFmtId="0" fontId="87" fillId="30" borderId="30" xfId="0" applyFont="1" applyFill="1" applyBorder="1" applyAlignment="1">
      <alignment horizontal="center" vertical="center"/>
    </xf>
    <xf numFmtId="0" fontId="87" fillId="30" borderId="3" xfId="0" applyFont="1" applyFill="1" applyBorder="1" applyAlignment="1">
      <alignment horizontal="center" vertical="center" wrapText="1"/>
    </xf>
    <xf numFmtId="0" fontId="87" fillId="30" borderId="3" xfId="0" applyFont="1" applyFill="1" applyBorder="1" applyAlignment="1">
      <alignment horizontal="center" vertical="center"/>
    </xf>
    <xf numFmtId="0" fontId="88" fillId="0" borderId="3" xfId="0" applyFont="1" applyBorder="1" applyAlignment="1" applyProtection="1">
      <alignment horizontal="center" vertical="center" wrapText="1"/>
      <protection locked="0"/>
    </xf>
    <xf numFmtId="0" fontId="89" fillId="29" borderId="31" xfId="0" applyFont="1" applyFill="1" applyBorder="1" applyAlignment="1" applyProtection="1">
      <alignment horizontal="center" vertical="center"/>
    </xf>
    <xf numFmtId="0" fontId="95" fillId="0" borderId="3" xfId="0" applyFont="1" applyBorder="1" applyAlignment="1">
      <alignment horizontal="left" vertical="center"/>
    </xf>
    <xf numFmtId="0" fontId="99" fillId="29" borderId="3" xfId="0" applyFont="1" applyFill="1" applyBorder="1" applyAlignment="1">
      <alignment horizontal="center" vertical="center"/>
    </xf>
    <xf numFmtId="0" fontId="95" fillId="29" borderId="3" xfId="0" applyFont="1" applyFill="1" applyBorder="1" applyAlignment="1">
      <alignment horizontal="center" vertical="center"/>
    </xf>
    <xf numFmtId="0" fontId="95" fillId="0" borderId="3" xfId="0" applyFont="1" applyFill="1" applyBorder="1" applyAlignment="1">
      <alignment horizontal="left" vertical="center"/>
    </xf>
    <xf numFmtId="0" fontId="95" fillId="0" borderId="30" xfId="0" applyFont="1" applyBorder="1" applyAlignment="1">
      <alignment horizontal="left" vertical="center"/>
    </xf>
    <xf numFmtId="0" fontId="95" fillId="0" borderId="31" xfId="0" applyFont="1" applyBorder="1" applyAlignment="1">
      <alignment horizontal="left" vertical="center"/>
    </xf>
    <xf numFmtId="0" fontId="95" fillId="0" borderId="26" xfId="0" applyFont="1" applyFill="1" applyBorder="1" applyAlignment="1">
      <alignment horizontal="center" vertical="center"/>
    </xf>
    <xf numFmtId="0" fontId="95" fillId="0" borderId="1" xfId="0" applyFont="1" applyFill="1" applyBorder="1" applyAlignment="1">
      <alignment horizontal="center" vertical="center"/>
    </xf>
    <xf numFmtId="0" fontId="95" fillId="0" borderId="32" xfId="0" applyFont="1" applyBorder="1" applyAlignment="1">
      <alignment horizontal="left" vertical="center"/>
    </xf>
    <xf numFmtId="0" fontId="95" fillId="0" borderId="33" xfId="0" applyFont="1" applyBorder="1" applyAlignment="1">
      <alignment horizontal="left" vertical="center"/>
    </xf>
    <xf numFmtId="0" fontId="95" fillId="0" borderId="28" xfId="0" applyFont="1" applyBorder="1" applyAlignment="1">
      <alignment horizontal="left" vertical="center"/>
    </xf>
    <xf numFmtId="0" fontId="95" fillId="0" borderId="34" xfId="0" applyFont="1" applyBorder="1" applyAlignment="1">
      <alignment horizontal="left" vertical="center"/>
    </xf>
    <xf numFmtId="0" fontId="95" fillId="0" borderId="24" xfId="0" applyFont="1" applyFill="1" applyBorder="1" applyAlignment="1">
      <alignment horizontal="left" vertical="center" wrapText="1"/>
    </xf>
    <xf numFmtId="0" fontId="95" fillId="0" borderId="27" xfId="0" applyFont="1" applyFill="1" applyBorder="1" applyAlignment="1">
      <alignment horizontal="left" vertical="center" wrapText="1"/>
    </xf>
    <xf numFmtId="0" fontId="95" fillId="0" borderId="35" xfId="0" applyFont="1" applyFill="1" applyBorder="1" applyAlignment="1">
      <alignment horizontal="left" vertical="center" wrapText="1"/>
    </xf>
    <xf numFmtId="0" fontId="94" fillId="0" borderId="0" xfId="0" quotePrefix="1" applyFont="1" applyAlignment="1">
      <alignment horizontal="left" vertical="center"/>
    </xf>
    <xf numFmtId="0" fontId="94" fillId="0" borderId="0" xfId="0" applyFont="1" applyAlignment="1">
      <alignment horizontal="left" vertical="center"/>
    </xf>
    <xf numFmtId="0" fontId="82" fillId="0" borderId="0" xfId="0" applyFont="1" applyAlignment="1">
      <alignment vertical="center" wrapText="1"/>
    </xf>
    <xf numFmtId="0" fontId="94" fillId="0" borderId="0" xfId="0" applyFont="1" applyAlignment="1">
      <alignment vertical="center"/>
    </xf>
    <xf numFmtId="0" fontId="82" fillId="0" borderId="0" xfId="0" applyFont="1" applyAlignment="1">
      <alignment vertical="center"/>
    </xf>
    <xf numFmtId="0" fontId="95" fillId="0" borderId="3" xfId="0" applyFont="1" applyFill="1" applyBorder="1" applyAlignment="1">
      <alignment horizontal="center" vertical="center"/>
    </xf>
    <xf numFmtId="0" fontId="95" fillId="0" borderId="23" xfId="0" applyFont="1" applyFill="1" applyBorder="1" applyAlignment="1">
      <alignment horizontal="left" vertical="center" wrapText="1"/>
    </xf>
    <xf numFmtId="0" fontId="82" fillId="0" borderId="0" xfId="0" applyFont="1" applyAlignment="1">
      <alignment horizontal="left" vertical="center" wrapText="1"/>
    </xf>
    <xf numFmtId="0" fontId="94" fillId="0" borderId="0" xfId="0" applyFont="1" applyAlignment="1">
      <alignment horizontal="left" vertical="center" wrapText="1"/>
    </xf>
    <xf numFmtId="0" fontId="94" fillId="0" borderId="0" xfId="0" applyFont="1" applyFill="1" applyAlignment="1">
      <alignment vertical="center"/>
    </xf>
    <xf numFmtId="0" fontId="107" fillId="0" borderId="0" xfId="0" applyFont="1" applyAlignment="1">
      <alignment horizontal="left" vertical="center" wrapText="1"/>
    </xf>
    <xf numFmtId="0" fontId="89" fillId="29" borderId="26" xfId="0" applyFont="1" applyFill="1" applyBorder="1" applyAlignment="1">
      <alignment horizontal="center" vertical="center" wrapText="1"/>
    </xf>
    <xf numFmtId="0" fontId="89" fillId="29" borderId="1" xfId="0" applyFont="1" applyFill="1" applyBorder="1" applyAlignment="1">
      <alignment horizontal="center" vertical="center" wrapText="1"/>
    </xf>
    <xf numFmtId="0" fontId="89" fillId="29" borderId="3" xfId="0" applyFont="1" applyFill="1" applyBorder="1" applyAlignment="1">
      <alignment horizontal="center" vertical="center" wrapText="1"/>
    </xf>
    <xf numFmtId="0" fontId="90" fillId="0" borderId="0" xfId="0" applyFont="1" applyAlignment="1">
      <alignment horizontal="left" vertical="center" wrapText="1"/>
    </xf>
    <xf numFmtId="0" fontId="90" fillId="0" borderId="0" xfId="0" applyFont="1" applyAlignment="1">
      <alignment horizontal="left" vertical="center"/>
    </xf>
    <xf numFmtId="0" fontId="89" fillId="0" borderId="30" xfId="0" applyFont="1" applyBorder="1" applyAlignment="1">
      <alignment horizontal="center" vertical="center" wrapText="1"/>
    </xf>
    <xf numFmtId="0" fontId="89" fillId="0" borderId="5" xfId="0" applyFont="1" applyBorder="1" applyAlignment="1">
      <alignment horizontal="center" vertical="center" wrapText="1"/>
    </xf>
    <xf numFmtId="0" fontId="89" fillId="0" borderId="31" xfId="0" applyFont="1" applyBorder="1" applyAlignment="1">
      <alignment horizontal="center" vertical="center" wrapText="1"/>
    </xf>
    <xf numFmtId="0" fontId="88" fillId="0" borderId="32" xfId="0" applyFont="1" applyBorder="1" applyAlignment="1">
      <alignment horizontal="left" vertical="center"/>
    </xf>
    <xf numFmtId="0" fontId="88" fillId="0" borderId="33" xfId="0" applyFont="1" applyBorder="1" applyAlignment="1">
      <alignment horizontal="left" vertical="center"/>
    </xf>
    <xf numFmtId="0" fontId="88" fillId="0" borderId="30" xfId="0" applyFont="1" applyBorder="1" applyAlignment="1">
      <alignment horizontal="center" vertical="center"/>
    </xf>
    <xf numFmtId="0" fontId="88" fillId="0" borderId="5" xfId="0" applyFont="1" applyBorder="1" applyAlignment="1">
      <alignment horizontal="center" vertical="center"/>
    </xf>
    <xf numFmtId="0" fontId="88" fillId="0" borderId="31" xfId="0" applyFont="1" applyBorder="1" applyAlignment="1">
      <alignment horizontal="center" vertical="center"/>
    </xf>
    <xf numFmtId="0" fontId="88" fillId="0" borderId="32" xfId="0" applyFont="1" applyBorder="1" applyAlignment="1">
      <alignment horizontal="center" vertical="center" wrapText="1"/>
    </xf>
    <xf numFmtId="0" fontId="88" fillId="0" borderId="33" xfId="0" applyFont="1" applyBorder="1" applyAlignment="1">
      <alignment horizontal="center" vertical="center" wrapText="1"/>
    </xf>
    <xf numFmtId="0" fontId="88" fillId="0" borderId="29" xfId="0" applyFont="1" applyBorder="1" applyAlignment="1">
      <alignment horizontal="center" vertical="center" wrapText="1"/>
    </xf>
    <xf numFmtId="0" fontId="88" fillId="0" borderId="9" xfId="0" applyFont="1" applyBorder="1" applyAlignment="1">
      <alignment horizontal="center" vertical="center" wrapText="1"/>
    </xf>
    <xf numFmtId="0" fontId="88" fillId="0" borderId="28" xfId="0" applyFont="1" applyBorder="1" applyAlignment="1">
      <alignment horizontal="center" vertical="center" wrapText="1"/>
    </xf>
    <xf numFmtId="0" fontId="88" fillId="0" borderId="34" xfId="0" applyFont="1" applyBorder="1" applyAlignment="1">
      <alignment horizontal="center" vertical="center" wrapText="1"/>
    </xf>
    <xf numFmtId="0" fontId="88" fillId="0" borderId="30" xfId="0" applyFont="1" applyBorder="1" applyAlignment="1">
      <alignment horizontal="left" vertical="center"/>
    </xf>
    <xf numFmtId="0" fontId="88" fillId="0" borderId="31" xfId="0" applyFont="1" applyBorder="1" applyAlignment="1">
      <alignment horizontal="left" vertical="center"/>
    </xf>
    <xf numFmtId="0" fontId="88" fillId="0" borderId="39" xfId="0" applyFont="1" applyBorder="1" applyAlignment="1">
      <alignment horizontal="left" vertical="center" wrapText="1"/>
    </xf>
    <xf numFmtId="0" fontId="88" fillId="0" borderId="41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88" fillId="0" borderId="26" xfId="0" applyFont="1" applyBorder="1" applyAlignment="1">
      <alignment horizontal="center" vertical="center" wrapText="1"/>
    </xf>
    <xf numFmtId="0" fontId="88" fillId="0" borderId="45" xfId="0" applyFont="1" applyBorder="1" applyAlignment="1">
      <alignment horizontal="center" vertical="center" wrapText="1"/>
    </xf>
    <xf numFmtId="0" fontId="88" fillId="0" borderId="1" xfId="0" applyFont="1" applyBorder="1" applyAlignment="1">
      <alignment horizontal="center" vertical="center" wrapText="1"/>
    </xf>
    <xf numFmtId="0" fontId="87" fillId="29" borderId="3" xfId="0" applyFont="1" applyFill="1" applyBorder="1" applyAlignment="1">
      <alignment horizontal="center" vertical="center"/>
    </xf>
    <xf numFmtId="0" fontId="89" fillId="29" borderId="32" xfId="0" applyFont="1" applyFill="1" applyBorder="1" applyAlignment="1">
      <alignment horizontal="center" vertical="center" wrapText="1"/>
    </xf>
    <xf numFmtId="0" fontId="89" fillId="29" borderId="38" xfId="0" applyFont="1" applyFill="1" applyBorder="1" applyAlignment="1">
      <alignment horizontal="center" vertical="center" wrapText="1"/>
    </xf>
    <xf numFmtId="0" fontId="88" fillId="29" borderId="38" xfId="0" applyFont="1" applyFill="1" applyBorder="1" applyAlignment="1">
      <alignment vertical="center" wrapText="1"/>
    </xf>
    <xf numFmtId="0" fontId="88" fillId="29" borderId="33" xfId="0" applyFont="1" applyFill="1" applyBorder="1" applyAlignment="1">
      <alignment vertical="center" wrapText="1"/>
    </xf>
    <xf numFmtId="0" fontId="88" fillId="29" borderId="28" xfId="0" applyFont="1" applyFill="1" applyBorder="1" applyAlignment="1">
      <alignment vertical="center" wrapText="1"/>
    </xf>
    <xf numFmtId="0" fontId="88" fillId="29" borderId="7" xfId="0" applyFont="1" applyFill="1" applyBorder="1" applyAlignment="1">
      <alignment vertical="center" wrapText="1"/>
    </xf>
    <xf numFmtId="0" fontId="88" fillId="29" borderId="34" xfId="0" applyFont="1" applyFill="1" applyBorder="1" applyAlignment="1">
      <alignment vertical="center" wrapText="1"/>
    </xf>
    <xf numFmtId="0" fontId="87" fillId="29" borderId="3" xfId="0" applyFont="1" applyFill="1" applyBorder="1" applyAlignment="1">
      <alignment horizontal="center" vertical="center" wrapText="1"/>
    </xf>
    <xf numFmtId="0" fontId="89" fillId="29" borderId="31" xfId="0" applyFont="1" applyFill="1" applyBorder="1" applyAlignment="1" applyProtection="1">
      <alignment horizontal="center" vertical="center"/>
      <protection locked="0"/>
    </xf>
    <xf numFmtId="0" fontId="89" fillId="29" borderId="3" xfId="0" applyFont="1" applyFill="1" applyBorder="1" applyAlignment="1" applyProtection="1">
      <alignment horizontal="center" vertical="center"/>
      <protection locked="0"/>
    </xf>
    <xf numFmtId="0" fontId="89" fillId="29" borderId="3" xfId="0" applyFont="1" applyFill="1" applyBorder="1" applyAlignment="1">
      <alignment horizontal="center" vertical="center"/>
    </xf>
    <xf numFmtId="0" fontId="89" fillId="0" borderId="30" xfId="0" applyFont="1" applyBorder="1" applyAlignment="1">
      <alignment horizontal="left" vertical="center"/>
    </xf>
    <xf numFmtId="0" fontId="89" fillId="0" borderId="31" xfId="0" applyFont="1" applyBorder="1" applyAlignment="1">
      <alignment horizontal="left" vertical="center"/>
    </xf>
    <xf numFmtId="0" fontId="88" fillId="0" borderId="30" xfId="0" applyFont="1" applyBorder="1" applyAlignment="1">
      <alignment horizontal="center" vertical="center" wrapText="1"/>
    </xf>
    <xf numFmtId="0" fontId="88" fillId="0" borderId="5" xfId="0" applyFont="1" applyBorder="1" applyAlignment="1">
      <alignment horizontal="center" vertical="center" wrapText="1"/>
    </xf>
    <xf numFmtId="0" fontId="88" fillId="0" borderId="31" xfId="0" applyFont="1" applyBorder="1" applyAlignment="1">
      <alignment horizontal="center" vertical="center" wrapText="1"/>
    </xf>
    <xf numFmtId="0" fontId="87" fillId="30" borderId="3" xfId="0" applyFont="1" applyFill="1" applyBorder="1" applyAlignment="1">
      <alignment horizontal="center" vertical="center" wrapText="1"/>
    </xf>
    <xf numFmtId="0" fontId="87" fillId="30" borderId="3" xfId="0" applyFont="1" applyFill="1" applyBorder="1" applyAlignment="1">
      <alignment horizontal="center" vertical="center"/>
    </xf>
    <xf numFmtId="0" fontId="87" fillId="30" borderId="30" xfId="0" applyFont="1" applyFill="1" applyBorder="1" applyAlignment="1">
      <alignment horizontal="center" vertical="center"/>
    </xf>
    <xf numFmtId="0" fontId="89" fillId="29" borderId="33" xfId="0" applyFont="1" applyFill="1" applyBorder="1" applyAlignment="1">
      <alignment horizontal="center" vertical="center" wrapText="1"/>
    </xf>
    <xf numFmtId="0" fontId="89" fillId="29" borderId="28" xfId="0" applyFont="1" applyFill="1" applyBorder="1" applyAlignment="1">
      <alignment horizontal="center" vertical="center" wrapText="1"/>
    </xf>
    <xf numFmtId="0" fontId="89" fillId="29" borderId="7" xfId="0" applyFont="1" applyFill="1" applyBorder="1" applyAlignment="1">
      <alignment horizontal="center" vertical="center" wrapText="1"/>
    </xf>
    <xf numFmtId="0" fontId="89" fillId="29" borderId="34" xfId="0" applyFont="1" applyFill="1" applyBorder="1" applyAlignment="1">
      <alignment horizontal="center" vertical="center" wrapText="1"/>
    </xf>
    <xf numFmtId="0" fontId="112" fillId="0" borderId="26" xfId="0" applyFont="1" applyBorder="1" applyAlignment="1" applyProtection="1">
      <alignment horizontal="center" vertical="center" wrapText="1"/>
      <protection locked="0"/>
    </xf>
    <xf numFmtId="0" fontId="112" fillId="0" borderId="23" xfId="0" applyFont="1" applyBorder="1" applyAlignment="1" applyProtection="1">
      <alignment horizontal="center" vertical="center" wrapText="1"/>
      <protection locked="0"/>
    </xf>
    <xf numFmtId="0" fontId="112" fillId="0" borderId="3" xfId="0" applyFont="1" applyBorder="1" applyAlignment="1" applyProtection="1">
      <alignment horizontal="center" vertical="center" wrapText="1"/>
      <protection locked="0"/>
    </xf>
    <xf numFmtId="0" fontId="88" fillId="0" borderId="3" xfId="0" applyFont="1" applyBorder="1" applyAlignment="1" applyProtection="1">
      <alignment horizontal="center" vertical="center" wrapText="1"/>
      <protection locked="0"/>
    </xf>
    <xf numFmtId="0" fontId="89" fillId="29" borderId="30" xfId="0" applyFont="1" applyFill="1" applyBorder="1" applyAlignment="1" applyProtection="1">
      <alignment horizontal="center" vertical="center"/>
    </xf>
    <xf numFmtId="0" fontId="89" fillId="29" borderId="31" xfId="0" applyFont="1" applyFill="1" applyBorder="1" applyAlignment="1" applyProtection="1">
      <alignment horizontal="center" vertical="center"/>
    </xf>
    <xf numFmtId="0" fontId="89" fillId="29" borderId="5" xfId="0" applyFont="1" applyFill="1" applyBorder="1" applyAlignment="1" applyProtection="1">
      <alignment horizontal="center" vertical="center"/>
    </xf>
    <xf numFmtId="41" fontId="99" fillId="29" borderId="3" xfId="334" applyFont="1" applyFill="1" applyBorder="1" applyAlignment="1" applyProtection="1">
      <alignment horizontal="center" vertical="center"/>
      <protection locked="0"/>
    </xf>
    <xf numFmtId="0" fontId="116" fillId="29" borderId="3" xfId="0" applyFont="1" applyFill="1" applyBorder="1" applyAlignment="1" applyProtection="1">
      <alignment horizontal="center" vertical="center" wrapText="1"/>
      <protection locked="0"/>
    </xf>
    <xf numFmtId="0" fontId="89" fillId="29" borderId="3" xfId="0" applyFont="1" applyFill="1" applyBorder="1" applyAlignment="1" applyProtection="1">
      <alignment horizontal="center" vertical="center" wrapText="1"/>
      <protection locked="0"/>
    </xf>
    <xf numFmtId="41" fontId="84" fillId="29" borderId="26" xfId="334" applyFont="1" applyFill="1" applyBorder="1" applyAlignment="1" applyProtection="1">
      <alignment horizontal="center" vertical="center"/>
      <protection locked="0"/>
    </xf>
    <xf numFmtId="41" fontId="84" fillId="29" borderId="1" xfId="334" applyFont="1" applyFill="1" applyBorder="1" applyAlignment="1" applyProtection="1">
      <alignment horizontal="center" vertical="center"/>
      <protection locked="0"/>
    </xf>
    <xf numFmtId="41" fontId="89" fillId="29" borderId="26" xfId="334" applyFont="1" applyFill="1" applyBorder="1" applyAlignment="1" applyProtection="1">
      <alignment horizontal="center" vertical="center"/>
      <protection locked="0"/>
    </xf>
    <xf numFmtId="41" fontId="89" fillId="29" borderId="1" xfId="334" applyFont="1" applyFill="1" applyBorder="1" applyAlignment="1" applyProtection="1">
      <alignment horizontal="center" vertical="center"/>
      <protection locked="0"/>
    </xf>
    <xf numFmtId="0" fontId="105" fillId="0" borderId="3" xfId="0" applyFont="1" applyFill="1" applyBorder="1" applyAlignment="1">
      <alignment horizontal="left" vertical="center"/>
    </xf>
    <xf numFmtId="0" fontId="105" fillId="0" borderId="25" xfId="0" applyFont="1" applyFill="1" applyBorder="1" applyAlignment="1">
      <alignment horizontal="left" vertical="center" wrapText="1"/>
    </xf>
    <xf numFmtId="0" fontId="105" fillId="0" borderId="25" xfId="0" applyFont="1" applyFill="1" applyBorder="1" applyProtection="1">
      <alignment vertical="center"/>
      <protection locked="0"/>
    </xf>
    <xf numFmtId="0" fontId="127" fillId="0" borderId="0" xfId="0" applyFont="1" applyFill="1" applyAlignment="1">
      <alignment vertical="center" wrapText="1"/>
    </xf>
    <xf numFmtId="0" fontId="107" fillId="0" borderId="0" xfId="0" applyFont="1" applyFill="1" applyAlignment="1">
      <alignment vertical="center"/>
    </xf>
    <xf numFmtId="0" fontId="107" fillId="0" borderId="0" xfId="0" applyFont="1" applyFill="1" applyAlignment="1">
      <alignment vertical="center" wrapText="1"/>
    </xf>
    <xf numFmtId="0" fontId="95" fillId="0" borderId="25" xfId="0" applyFont="1" applyFill="1" applyBorder="1" applyProtection="1">
      <alignment vertical="center"/>
      <protection locked="0"/>
    </xf>
    <xf numFmtId="0" fontId="95" fillId="0" borderId="25" xfId="0" applyFont="1" applyFill="1" applyBorder="1" applyAlignment="1">
      <alignment horizontal="left" vertical="center" wrapText="1"/>
    </xf>
    <xf numFmtId="0" fontId="92" fillId="0" borderId="0" xfId="0" applyFont="1" applyFill="1" applyBorder="1" applyAlignment="1">
      <alignment vertical="center"/>
    </xf>
    <xf numFmtId="0" fontId="90" fillId="0" borderId="0" xfId="0" applyFont="1" applyFill="1" applyAlignment="1">
      <alignment horizontal="left" vertical="center"/>
    </xf>
    <xf numFmtId="0" fontId="88" fillId="0" borderId="0" xfId="0" applyFont="1" applyFill="1" applyAlignment="1">
      <alignment vertical="center"/>
    </xf>
    <xf numFmtId="0" fontId="92" fillId="0" borderId="0" xfId="0" applyFont="1" applyBorder="1" applyAlignment="1">
      <alignment vertical="center"/>
    </xf>
    <xf numFmtId="0" fontId="90" fillId="0" borderId="0" xfId="0" applyFont="1" applyFill="1" applyAlignment="1" applyProtection="1">
      <alignment vertical="center"/>
      <protection locked="0"/>
    </xf>
    <xf numFmtId="0" fontId="90" fillId="0" borderId="0" xfId="0" applyFont="1" applyAlignment="1" applyProtection="1">
      <alignment vertical="center"/>
      <protection locked="0"/>
    </xf>
    <xf numFmtId="41" fontId="122" fillId="0" borderId="3" xfId="334" applyFont="1" applyFill="1" applyBorder="1" applyAlignment="1" applyProtection="1">
      <alignment horizontal="center" vertical="center"/>
      <protection locked="0"/>
    </xf>
    <xf numFmtId="0" fontId="90" fillId="0" borderId="0" xfId="0" applyFont="1" applyFill="1" applyAlignment="1">
      <alignment horizontal="left" vertical="center" wrapText="1"/>
    </xf>
    <xf numFmtId="0" fontId="90" fillId="0" borderId="0" xfId="0" applyFont="1" applyFill="1" applyAlignment="1">
      <alignment horizontal="left" vertical="center"/>
    </xf>
    <xf numFmtId="0" fontId="90" fillId="0" borderId="0" xfId="0" applyFont="1" applyFill="1" applyAlignment="1">
      <alignment vertical="center"/>
    </xf>
    <xf numFmtId="0" fontId="87" fillId="0" borderId="0" xfId="0" applyFont="1" applyFill="1">
      <alignment vertical="center"/>
    </xf>
    <xf numFmtId="0" fontId="88" fillId="17" borderId="0" xfId="369" applyFont="1" applyFill="1" applyBorder="1" applyAlignment="1" applyProtection="1">
      <alignment horizontal="center" vertical="center"/>
      <protection locked="0"/>
    </xf>
    <xf numFmtId="0" fontId="88" fillId="17" borderId="0" xfId="369" applyFont="1" applyFill="1" applyBorder="1" applyAlignment="1" applyProtection="1">
      <alignment vertical="center"/>
      <protection locked="0"/>
    </xf>
    <xf numFmtId="0" fontId="90" fillId="0" borderId="0" xfId="0" applyFont="1" applyFill="1" applyBorder="1" applyAlignment="1">
      <alignment horizontal="right" vertical="center"/>
    </xf>
    <xf numFmtId="0" fontId="88" fillId="0" borderId="0" xfId="0" applyFont="1" applyFill="1" applyBorder="1" applyAlignment="1">
      <alignment horizontal="center" vertical="center"/>
    </xf>
    <xf numFmtId="0" fontId="90" fillId="0" borderId="0" xfId="369" applyFont="1" applyFill="1"/>
    <xf numFmtId="0" fontId="87" fillId="0" borderId="0" xfId="0" applyFont="1" applyFill="1" applyAlignment="1">
      <alignment vertical="center"/>
    </xf>
    <xf numFmtId="0" fontId="90" fillId="0" borderId="0" xfId="369" applyFont="1" applyFill="1" applyAlignment="1">
      <alignment vertical="center"/>
    </xf>
    <xf numFmtId="0" fontId="118" fillId="0" borderId="0" xfId="0" applyFont="1" applyBorder="1" applyAlignment="1" applyProtection="1">
      <alignment horizontal="center" vertical="center"/>
      <protection locked="0"/>
    </xf>
    <xf numFmtId="0" fontId="88" fillId="0" borderId="0" xfId="0" applyFont="1" applyBorder="1" applyProtection="1">
      <alignment vertical="center"/>
      <protection locked="0"/>
    </xf>
    <xf numFmtId="0" fontId="89" fillId="0" borderId="0" xfId="0" applyFont="1" applyBorder="1" applyAlignment="1">
      <alignment horizontal="center" vertical="center" wrapText="1"/>
    </xf>
    <xf numFmtId="0" fontId="89" fillId="0" borderId="31" xfId="0" applyFont="1" applyFill="1" applyBorder="1" applyAlignment="1">
      <alignment horizontal="center" vertical="center" wrapText="1"/>
    </xf>
    <xf numFmtId="0" fontId="89" fillId="0" borderId="5" xfId="0" applyFont="1" applyFill="1" applyBorder="1" applyAlignment="1">
      <alignment horizontal="center" vertical="center" wrapText="1"/>
    </xf>
    <xf numFmtId="0" fontId="89" fillId="0" borderId="30" xfId="0" applyFont="1" applyFill="1" applyBorder="1" applyAlignment="1">
      <alignment horizontal="center" vertical="center" wrapText="1"/>
    </xf>
    <xf numFmtId="0" fontId="88" fillId="0" borderId="3" xfId="0" applyFont="1" applyFill="1" applyBorder="1" applyAlignment="1">
      <alignment horizontal="center" vertical="center"/>
    </xf>
    <xf numFmtId="0" fontId="88" fillId="0" borderId="31" xfId="0" applyFont="1" applyFill="1" applyBorder="1" applyAlignment="1">
      <alignment horizontal="left" vertical="center"/>
    </xf>
    <xf numFmtId="0" fontId="88" fillId="0" borderId="30" xfId="0" applyFont="1" applyFill="1" applyBorder="1" applyAlignment="1">
      <alignment horizontal="left" vertical="center"/>
    </xf>
    <xf numFmtId="0" fontId="88" fillId="0" borderId="34" xfId="0" applyFont="1" applyFill="1" applyBorder="1" applyAlignment="1">
      <alignment horizontal="center" vertical="center" wrapText="1"/>
    </xf>
    <xf numFmtId="0" fontId="88" fillId="0" borderId="28" xfId="0" applyFont="1" applyFill="1" applyBorder="1" applyAlignment="1">
      <alignment horizontal="center" vertical="center" wrapText="1"/>
    </xf>
    <xf numFmtId="0" fontId="88" fillId="0" borderId="9" xfId="0" applyFont="1" applyFill="1" applyBorder="1" applyAlignment="1">
      <alignment horizontal="center" vertical="center" wrapText="1"/>
    </xf>
    <xf numFmtId="0" fontId="88" fillId="0" borderId="29" xfId="0" applyFont="1" applyFill="1" applyBorder="1" applyAlignment="1">
      <alignment horizontal="center" vertical="center" wrapText="1"/>
    </xf>
    <xf numFmtId="0" fontId="88" fillId="0" borderId="44" xfId="0" applyFont="1" applyFill="1" applyBorder="1" applyAlignment="1">
      <alignment horizontal="left" vertical="center"/>
    </xf>
    <xf numFmtId="0" fontId="88" fillId="0" borderId="43" xfId="0" applyFont="1" applyFill="1" applyBorder="1" applyAlignment="1">
      <alignment horizontal="left" vertical="center" wrapText="1"/>
    </xf>
    <xf numFmtId="0" fontId="88" fillId="0" borderId="42" xfId="0" applyFont="1" applyFill="1" applyBorder="1" applyAlignment="1">
      <alignment horizontal="left" vertical="center"/>
    </xf>
    <xf numFmtId="0" fontId="88" fillId="0" borderId="41" xfId="0" applyFont="1" applyFill="1" applyBorder="1" applyAlignment="1">
      <alignment horizontal="left" vertical="center" wrapText="1"/>
    </xf>
    <xf numFmtId="0" fontId="88" fillId="0" borderId="40" xfId="0" applyFont="1" applyFill="1" applyBorder="1" applyAlignment="1">
      <alignment horizontal="left" vertical="center"/>
    </xf>
    <xf numFmtId="0" fontId="88" fillId="0" borderId="39" xfId="0" applyFont="1" applyFill="1" applyBorder="1" applyAlignment="1">
      <alignment horizontal="left" vertical="center" wrapText="1"/>
    </xf>
    <xf numFmtId="0" fontId="88" fillId="0" borderId="33" xfId="0" applyFont="1" applyFill="1" applyBorder="1" applyAlignment="1">
      <alignment horizontal="center" vertical="center" wrapText="1"/>
    </xf>
    <xf numFmtId="0" fontId="88" fillId="0" borderId="32" xfId="0" applyFont="1" applyFill="1" applyBorder="1" applyAlignment="1">
      <alignment horizontal="center" vertical="center" wrapText="1"/>
    </xf>
    <xf numFmtId="0" fontId="88" fillId="0" borderId="31" xfId="0" applyFont="1" applyFill="1" applyBorder="1" applyAlignment="1">
      <alignment horizontal="center" vertical="center"/>
    </xf>
    <xf numFmtId="0" fontId="88" fillId="0" borderId="5" xfId="0" applyFont="1" applyFill="1" applyBorder="1" applyAlignment="1">
      <alignment horizontal="center" vertical="center"/>
    </xf>
    <xf numFmtId="0" fontId="88" fillId="0" borderId="30" xfId="0" applyFont="1" applyFill="1" applyBorder="1" applyAlignment="1">
      <alignment horizontal="center" vertical="center"/>
    </xf>
    <xf numFmtId="0" fontId="88" fillId="0" borderId="1" xfId="0" applyFont="1" applyFill="1" applyBorder="1" applyAlignment="1">
      <alignment horizontal="center" vertical="center" wrapText="1"/>
    </xf>
    <xf numFmtId="0" fontId="88" fillId="0" borderId="33" xfId="0" applyFont="1" applyFill="1" applyBorder="1" applyAlignment="1">
      <alignment horizontal="left" vertical="center"/>
    </xf>
    <xf numFmtId="0" fontId="88" fillId="0" borderId="32" xfId="0" applyFont="1" applyFill="1" applyBorder="1" applyAlignment="1">
      <alignment horizontal="left" vertical="center"/>
    </xf>
    <xf numFmtId="0" fontId="88" fillId="0" borderId="45" xfId="0" applyFont="1" applyFill="1" applyBorder="1" applyAlignment="1">
      <alignment horizontal="center" vertical="center" wrapText="1"/>
    </xf>
    <xf numFmtId="0" fontId="88" fillId="0" borderId="26" xfId="0" applyFont="1" applyFill="1" applyBorder="1" applyAlignment="1">
      <alignment horizontal="center" vertical="center" wrapText="1"/>
    </xf>
    <xf numFmtId="0" fontId="96" fillId="0" borderId="0" xfId="0" applyFont="1" applyFill="1">
      <alignment vertical="center"/>
    </xf>
    <xf numFmtId="0" fontId="88" fillId="0" borderId="0" xfId="0" applyFont="1" applyBorder="1" applyAlignment="1">
      <alignment horizontal="center" vertical="center"/>
    </xf>
    <xf numFmtId="0" fontId="89" fillId="0" borderId="3" xfId="0" applyFont="1" applyFill="1" applyBorder="1" applyAlignment="1">
      <alignment horizontal="center" vertical="center"/>
    </xf>
    <xf numFmtId="0" fontId="88" fillId="0" borderId="44" xfId="0" applyFont="1" applyFill="1" applyBorder="1" applyAlignment="1">
      <alignment horizontal="center" vertical="center"/>
    </xf>
    <xf numFmtId="0" fontId="88" fillId="0" borderId="28" xfId="0" applyFont="1" applyFill="1" applyBorder="1" applyAlignment="1">
      <alignment horizontal="center" vertical="center"/>
    </xf>
    <xf numFmtId="0" fontId="119" fillId="0" borderId="0" xfId="0" applyFont="1" applyFill="1">
      <alignment vertical="center"/>
    </xf>
    <xf numFmtId="0" fontId="120" fillId="0" borderId="0" xfId="0" applyFont="1" applyFill="1">
      <alignment vertical="center"/>
    </xf>
    <xf numFmtId="0" fontId="120" fillId="0" borderId="0" xfId="369" applyFont="1" applyFill="1"/>
    <xf numFmtId="0" fontId="120" fillId="0" borderId="0" xfId="0" applyFont="1" applyFill="1" applyAlignment="1">
      <alignment vertical="center"/>
    </xf>
    <xf numFmtId="0" fontId="89" fillId="0" borderId="0" xfId="0" applyFont="1" applyFill="1" applyBorder="1" applyAlignment="1">
      <alignment horizontal="center" vertical="center" wrapText="1"/>
    </xf>
    <xf numFmtId="41" fontId="88" fillId="0" borderId="30" xfId="334" applyFont="1" applyBorder="1" applyProtection="1">
      <alignment vertical="center"/>
      <protection locked="0"/>
    </xf>
    <xf numFmtId="41" fontId="88" fillId="0" borderId="27" xfId="334" applyFont="1" applyBorder="1" applyProtection="1">
      <alignment vertical="center"/>
      <protection locked="0"/>
    </xf>
    <xf numFmtId="41" fontId="88" fillId="0" borderId="46" xfId="334" applyFont="1" applyBorder="1" applyProtection="1">
      <alignment vertical="center"/>
      <protection locked="0"/>
    </xf>
    <xf numFmtId="0" fontId="88" fillId="0" borderId="31" xfId="0" applyFont="1" applyFill="1" applyBorder="1" applyAlignment="1">
      <alignment horizontal="center" vertical="center" wrapText="1"/>
    </xf>
    <xf numFmtId="0" fontId="88" fillId="0" borderId="5" xfId="0" applyFont="1" applyFill="1" applyBorder="1" applyAlignment="1">
      <alignment horizontal="center" vertical="center" wrapText="1"/>
    </xf>
    <xf numFmtId="0" fontId="88" fillId="0" borderId="30" xfId="0" applyFont="1" applyFill="1" applyBorder="1" applyAlignment="1">
      <alignment horizontal="center" vertical="center" wrapText="1"/>
    </xf>
    <xf numFmtId="0" fontId="96" fillId="0" borderId="0" xfId="369" applyFont="1" applyFill="1"/>
    <xf numFmtId="0" fontId="97" fillId="0" borderId="0" xfId="0" applyFont="1" applyFill="1">
      <alignment vertical="center"/>
    </xf>
    <xf numFmtId="0" fontId="112" fillId="0" borderId="30" xfId="0" applyFont="1" applyBorder="1" applyAlignment="1" applyProtection="1">
      <alignment horizontal="center" vertical="center" wrapText="1"/>
      <protection locked="0"/>
    </xf>
    <xf numFmtId="0" fontId="92" fillId="0" borderId="0" xfId="0" applyFont="1" applyBorder="1" applyAlignment="1" applyProtection="1">
      <alignment vertical="center"/>
    </xf>
    <xf numFmtId="0" fontId="88" fillId="0" borderId="0" xfId="0" applyFont="1" applyFill="1" applyBorder="1">
      <alignment vertical="center"/>
    </xf>
    <xf numFmtId="0" fontId="97" fillId="0" borderId="37" xfId="0" applyFont="1" applyFill="1" applyBorder="1" applyAlignment="1" applyProtection="1">
      <alignment horizontal="center" vertical="center" wrapText="1"/>
      <protection locked="0"/>
    </xf>
    <xf numFmtId="0" fontId="88" fillId="0" borderId="30" xfId="0" applyFont="1" applyFill="1" applyBorder="1" applyAlignment="1" applyProtection="1">
      <alignment horizontal="center" vertical="center" wrapText="1"/>
      <protection locked="0"/>
    </xf>
    <xf numFmtId="41" fontId="83" fillId="0" borderId="3" xfId="334" applyFont="1" applyFill="1" applyBorder="1" applyProtection="1">
      <alignment vertical="center"/>
      <protection locked="0"/>
    </xf>
    <xf numFmtId="10" fontId="88" fillId="0" borderId="31" xfId="334" applyNumberFormat="1" applyFont="1" applyFill="1" applyBorder="1" applyProtection="1">
      <alignment vertical="center"/>
    </xf>
    <xf numFmtId="0" fontId="92" fillId="0" borderId="0" xfId="0" applyFont="1" applyFill="1" applyBorder="1" applyAlignment="1" applyProtection="1">
      <alignment vertical="center"/>
    </xf>
    <xf numFmtId="0" fontId="88" fillId="0" borderId="0" xfId="0" applyFont="1" applyFill="1" applyProtection="1">
      <alignment vertical="center"/>
    </xf>
    <xf numFmtId="0" fontId="121" fillId="29" borderId="3" xfId="0" applyFont="1" applyFill="1" applyBorder="1" applyAlignment="1">
      <alignment horizontal="center" vertical="center"/>
    </xf>
    <xf numFmtId="0" fontId="121" fillId="29" borderId="3" xfId="0" applyFont="1" applyFill="1" applyBorder="1" applyAlignment="1">
      <alignment horizontal="center" vertical="center" wrapText="1"/>
    </xf>
    <xf numFmtId="0" fontId="121" fillId="29" borderId="30" xfId="0" applyFont="1" applyFill="1" applyBorder="1" applyAlignment="1">
      <alignment horizontal="center" vertical="center"/>
    </xf>
    <xf numFmtId="0" fontId="87" fillId="29" borderId="30" xfId="0" applyFont="1" applyFill="1" applyBorder="1" applyAlignment="1">
      <alignment horizontal="center" vertical="center"/>
    </xf>
    <xf numFmtId="0" fontId="87" fillId="29" borderId="31" xfId="0" applyFont="1" applyFill="1" applyBorder="1" applyAlignment="1">
      <alignment horizontal="center" vertical="center"/>
    </xf>
  </cellXfs>
  <cellStyles count="383">
    <cellStyle name="_x000a_386grabber=M" xfId="1" xr:uid="{00000000-0005-0000-0000-000000000000}"/>
    <cellStyle name="$" xfId="2" xr:uid="{00000000-0005-0000-0000-000001000000}"/>
    <cellStyle name="$_db진흥" xfId="3" xr:uid="{00000000-0005-0000-0000-000002000000}"/>
    <cellStyle name="$_견적2" xfId="4" xr:uid="{00000000-0005-0000-0000-000003000000}"/>
    <cellStyle name="$_기아" xfId="5" xr:uid="{00000000-0005-0000-0000-000004000000}"/>
    <cellStyle name="??&amp;O?&amp;H?_x0008__x000f__x0007_?_x0007__x0001__x0001_" xfId="6" xr:uid="{00000000-0005-0000-0000-000005000000}"/>
    <cellStyle name="??&amp;O?&amp;H?_x0008_??_x0007__x0001__x0001_" xfId="7" xr:uid="{00000000-0005-0000-0000-000006000000}"/>
    <cellStyle name="?핺_CASH FLOW " xfId="8" xr:uid="{00000000-0005-0000-0000-000007000000}"/>
    <cellStyle name="_030820 Final 확정업무보고서(2003.2분기)" xfId="9" xr:uid="{00000000-0005-0000-0000-000008000000}"/>
    <cellStyle name="_2003.3_4분기_경영관리팀_82~83_제출_현호씨" xfId="10" xr:uid="{00000000-0005-0000-0000-000009000000}"/>
    <cellStyle name="_2003.3_4분기_경영관리팀_할부금융,비용" xfId="11" xr:uid="{00000000-0005-0000-0000-00000A000000}"/>
    <cellStyle name="_2003.4_4분기_경영관리팀(김기배대리)" xfId="12" xr:uid="{00000000-0005-0000-0000-00000B000000}"/>
    <cellStyle name="_2003.4_4분기_경영관리팀(김기배대리)_20040316" xfId="13" xr:uid="{00000000-0005-0000-0000-00000C000000}"/>
    <cellStyle name="_6월자산건전성분류(최종)8월26일s" xfId="14" xr:uid="{00000000-0005-0000-0000-00000D000000}"/>
    <cellStyle name="_6월자산건전성분류_최종" xfId="15" xr:uid="{00000000-0005-0000-0000-00000E000000}"/>
    <cellStyle name="_7월누적투자" xfId="16" xr:uid="{00000000-0005-0000-0000-00000F000000}"/>
    <cellStyle name="_Book1" xfId="17" xr:uid="{00000000-0005-0000-0000-000010000000}"/>
    <cellStyle name="_foxz" xfId="18" xr:uid="{00000000-0005-0000-0000-000011000000}"/>
    <cellStyle name="_leadsheet(스파클)" xfId="19" xr:uid="{00000000-0005-0000-0000-000012000000}"/>
    <cellStyle name="_Research_Report용(2001년말).xls Chart 1" xfId="20" xr:uid="{00000000-0005-0000-0000-000013000000}"/>
    <cellStyle name="_Research_Report용(2001년말).xls Chart 10" xfId="21" xr:uid="{00000000-0005-0000-0000-000014000000}"/>
    <cellStyle name="_Research_Report용(2001년말).xls Chart 11" xfId="22" xr:uid="{00000000-0005-0000-0000-000015000000}"/>
    <cellStyle name="_Research_Report용(2001년말).xls Chart 12" xfId="23" xr:uid="{00000000-0005-0000-0000-000016000000}"/>
    <cellStyle name="_Research_Report용(2001년말).xls Chart 13" xfId="24" xr:uid="{00000000-0005-0000-0000-000017000000}"/>
    <cellStyle name="_Research_Report용(2001년말).xls Chart 14" xfId="25" xr:uid="{00000000-0005-0000-0000-000018000000}"/>
    <cellStyle name="_Research_Report용(2001년말).xls Chart 15" xfId="26" xr:uid="{00000000-0005-0000-0000-000019000000}"/>
    <cellStyle name="_Research_Report용(2001년말).xls Chart 16" xfId="27" xr:uid="{00000000-0005-0000-0000-00001A000000}"/>
    <cellStyle name="_Research_Report용(2001년말).xls Chart 17" xfId="28" xr:uid="{00000000-0005-0000-0000-00001B000000}"/>
    <cellStyle name="_Research_Report용(2001년말).xls Chart 18" xfId="29" xr:uid="{00000000-0005-0000-0000-00001C000000}"/>
    <cellStyle name="_Research_Report용(2001년말).xls Chart 19" xfId="30" xr:uid="{00000000-0005-0000-0000-00001D000000}"/>
    <cellStyle name="_Research_Report용(2001년말).xls Chart 2" xfId="31" xr:uid="{00000000-0005-0000-0000-00001E000000}"/>
    <cellStyle name="_Research_Report용(2001년말).xls Chart 20" xfId="32" xr:uid="{00000000-0005-0000-0000-00001F000000}"/>
    <cellStyle name="_Research_Report용(2001년말).xls Chart 21" xfId="33" xr:uid="{00000000-0005-0000-0000-000020000000}"/>
    <cellStyle name="_Research_Report용(2001년말).xls Chart 3" xfId="34" xr:uid="{00000000-0005-0000-0000-000021000000}"/>
    <cellStyle name="_Research_Report용(2001년말).xls Chart 4" xfId="35" xr:uid="{00000000-0005-0000-0000-000022000000}"/>
    <cellStyle name="_Research_Report용(2001년말).xls Chart 5" xfId="36" xr:uid="{00000000-0005-0000-0000-000023000000}"/>
    <cellStyle name="_Research_Report용(2001년말).xls Chart 6" xfId="37" xr:uid="{00000000-0005-0000-0000-000024000000}"/>
    <cellStyle name="_Research_Report용(2001년말).xls Chart 7" xfId="38" xr:uid="{00000000-0005-0000-0000-000025000000}"/>
    <cellStyle name="_Research_Report용(2001년말).xls Chart 8" xfId="39" xr:uid="{00000000-0005-0000-0000-000026000000}"/>
    <cellStyle name="_Research_Report용(2001년말).xls Chart 9" xfId="40" xr:uid="{00000000-0005-0000-0000-000027000000}"/>
    <cellStyle name="_개발비상각1" xfId="41" xr:uid="{00000000-0005-0000-0000-000028000000}"/>
    <cellStyle name="_결산200412_0124_v1_감사후_bs pl" xfId="42" xr:uid="{00000000-0005-0000-0000-000029000000}"/>
    <cellStyle name="_경영관리3분기_박정호대리비용" xfId="43" xr:uid="{00000000-0005-0000-0000-00002A000000}"/>
    <cellStyle name="_경영관리비용(0204김기배)" xfId="44" xr:uid="{00000000-0005-0000-0000-00002B000000}"/>
    <cellStyle name="_경영관리비용(0304김기배최종)" xfId="45" xr:uid="{00000000-0005-0000-0000-00002C000000}"/>
    <cellStyle name="_경영관리팀(2002.4_4분기)" xfId="46" xr:uid="{00000000-0005-0000-0000-00002D000000}"/>
    <cellStyle name="_소코드1" xfId="47" xr:uid="{00000000-0005-0000-0000-00002E000000}"/>
    <cellStyle name="_수정사항(8월26일)" xfId="48" xr:uid="{00000000-0005-0000-0000-00002F000000}"/>
    <cellStyle name="_업무보고서(2003.6월)미수금예수금조정" xfId="49" xr:uid="{00000000-0005-0000-0000-000030000000}"/>
    <cellStyle name="_영업외손익 LS" xfId="50" xr:uid="{00000000-0005-0000-0000-000031000000}"/>
    <cellStyle name="_오호석부장1014" xfId="51" xr:uid="{00000000-0005-0000-0000-000032000000}"/>
    <cellStyle name="_오호석차장0625" xfId="52" xr:uid="{00000000-0005-0000-0000-000033000000}"/>
    <cellStyle name="_오호석차장0723" xfId="53" xr:uid="{00000000-0005-0000-0000-000034000000}"/>
    <cellStyle name="_이재민과장0206_무형자산상각" xfId="54" xr:uid="{00000000-0005-0000-0000-000035000000}"/>
    <cellStyle name="_이진우대리(0540725)" xfId="55" xr:uid="{00000000-0005-0000-0000-000036000000}"/>
    <cellStyle name="_이진우氏0204(2)" xfId="56" xr:uid="{00000000-0005-0000-0000-000037000000}"/>
    <cellStyle name="_이진우氏0727" xfId="57" xr:uid="{00000000-0005-0000-0000-000038000000}"/>
    <cellStyle name="_판관,제조경비" xfId="58" xr:uid="{00000000-0005-0000-0000-000039000000}"/>
    <cellStyle name="_판관비 LS" xfId="59" xr:uid="{00000000-0005-0000-0000-00003A000000}"/>
    <cellStyle name="æøè [0.00" xfId="60" xr:uid="{00000000-0005-0000-0000-00003B000000}"/>
    <cellStyle name="æøè_produ" xfId="61" xr:uid="{00000000-0005-0000-0000-00003C000000}"/>
    <cellStyle name="êý [0.00]_pr" xfId="62" xr:uid="{00000000-0005-0000-0000-00003D000000}"/>
    <cellStyle name="êý_product d" xfId="63" xr:uid="{00000000-0005-0000-0000-00003E000000}"/>
    <cellStyle name="w_bookship" xfId="64" xr:uid="{00000000-0005-0000-0000-00003F000000}"/>
    <cellStyle name="0" xfId="65" xr:uid="{00000000-0005-0000-0000-000040000000}"/>
    <cellStyle name="¹éºðà²" xfId="66" xr:uid="{00000000-0005-0000-0000-000041000000}"/>
    <cellStyle name="¹eºÐA²_AIAIC°AuCoE² " xfId="67" xr:uid="{00000000-0005-0000-0000-000042000000}"/>
    <cellStyle name="20% - 강조색1" xfId="68" builtinId="30" customBuiltin="1"/>
    <cellStyle name="20% - 강조색2" xfId="69" builtinId="34" customBuiltin="1"/>
    <cellStyle name="20% - 강조색3" xfId="70" builtinId="38" customBuiltin="1"/>
    <cellStyle name="20% - 강조색4" xfId="71" builtinId="42" customBuiltin="1"/>
    <cellStyle name="20% - 강조색5" xfId="72" builtinId="46" customBuiltin="1"/>
    <cellStyle name="20% - 강조색6" xfId="73" builtinId="50" customBuiltin="1"/>
    <cellStyle name="40% - 강조색1" xfId="74" builtinId="31" customBuiltin="1"/>
    <cellStyle name="40% - 강조색2" xfId="75" builtinId="35" customBuiltin="1"/>
    <cellStyle name="40% - 강조색3" xfId="76" builtinId="39" customBuiltin="1"/>
    <cellStyle name="40% - 강조색4" xfId="77" builtinId="43" customBuiltin="1"/>
    <cellStyle name="40% - 강조색5" xfId="78" builtinId="47" customBuiltin="1"/>
    <cellStyle name="40% - 강조색6" xfId="79" builtinId="51" customBuiltin="1"/>
    <cellStyle name="60% - 강조색1" xfId="80" builtinId="32" customBuiltin="1"/>
    <cellStyle name="60% - 강조색2" xfId="81" builtinId="36" customBuiltin="1"/>
    <cellStyle name="60% - 강조색3" xfId="82" builtinId="40" customBuiltin="1"/>
    <cellStyle name="60% - 강조색4" xfId="83" builtinId="44" customBuiltin="1"/>
    <cellStyle name="60% - 강조색5" xfId="84" builtinId="48" customBuiltin="1"/>
    <cellStyle name="60% - 강조색6" xfId="85" builtinId="52" customBuiltin="1"/>
    <cellStyle name="Ⅰ" xfId="86" xr:uid="{00000000-0005-0000-0000-000055000000}"/>
    <cellStyle name="Åëè­" xfId="87" xr:uid="{00000000-0005-0000-0000-000056000000}"/>
    <cellStyle name="Åëè­ [0]" xfId="88" xr:uid="{00000000-0005-0000-0000-000057000000}"/>
    <cellStyle name="AeE­ [0]_±aA¸" xfId="89" xr:uid="{00000000-0005-0000-0000-000058000000}"/>
    <cellStyle name="ÅëÈ­ [0]_½ÂÀÎ¾÷Ã¼" xfId="90" xr:uid="{00000000-0005-0000-0000-000059000000}"/>
    <cellStyle name="AeE­ [0]_97MBO" xfId="91" xr:uid="{00000000-0005-0000-0000-00005A000000}"/>
    <cellStyle name="ÅëÈ­ [0]_97MBO" xfId="92" xr:uid="{00000000-0005-0000-0000-00005B000000}"/>
    <cellStyle name="AeE­ [0]_97MBO (2)" xfId="93" xr:uid="{00000000-0005-0000-0000-00005C000000}"/>
    <cellStyle name="ÅëÈ­ [0]_97MBO (2)" xfId="94" xr:uid="{00000000-0005-0000-0000-00005D000000}"/>
    <cellStyle name="AeE­ [0]_Ao±C Project" xfId="95" xr:uid="{00000000-0005-0000-0000-00005E000000}"/>
    <cellStyle name="ÅëÈ­ [0]_Áõ±Ç Project" xfId="96" xr:uid="{00000000-0005-0000-0000-00005F000000}"/>
    <cellStyle name="AeE­ [0]_COºI project" xfId="97" xr:uid="{00000000-0005-0000-0000-000060000000}"/>
    <cellStyle name="ÅëÈ­ [0]_ÇÒºÎ project" xfId="98" xr:uid="{00000000-0005-0000-0000-000061000000}"/>
    <cellStyle name="AeE­ [0]_laroux" xfId="99" xr:uid="{00000000-0005-0000-0000-000062000000}"/>
    <cellStyle name="ÅëÈ­ [0]_laroux" xfId="100" xr:uid="{00000000-0005-0000-0000-000063000000}"/>
    <cellStyle name="AeE­ [0]_laroux_1" xfId="101" xr:uid="{00000000-0005-0000-0000-000064000000}"/>
    <cellStyle name="ÅëÈ­ [0]_laroux_1" xfId="102" xr:uid="{00000000-0005-0000-0000-000065000000}"/>
    <cellStyle name="AeE­ [0]_laroux_2" xfId="103" xr:uid="{00000000-0005-0000-0000-000066000000}"/>
    <cellStyle name="ÅëÈ­ [0]_laroux_2" xfId="104" xr:uid="{00000000-0005-0000-0000-000067000000}"/>
    <cellStyle name="AeE­ [0]_laroux_3" xfId="105" xr:uid="{00000000-0005-0000-0000-000068000000}"/>
    <cellStyle name="ÅëÈ­ [0]_laroux_3" xfId="106" xr:uid="{00000000-0005-0000-0000-000069000000}"/>
    <cellStyle name="AeE­ [0]_laroux_4" xfId="107" xr:uid="{00000000-0005-0000-0000-00006A000000}"/>
    <cellStyle name="ÅëÈ­ [0]_laroux_4" xfId="108" xr:uid="{00000000-0005-0000-0000-00006B000000}"/>
    <cellStyle name="AeE­ [0]_laroux_5" xfId="109" xr:uid="{00000000-0005-0000-0000-00006C000000}"/>
    <cellStyle name="ÅëÈ­ [0]_laroux_5" xfId="110" xr:uid="{00000000-0005-0000-0000-00006D000000}"/>
    <cellStyle name="AeE­ [0]_MBO_0" xfId="111" xr:uid="{00000000-0005-0000-0000-00006E000000}"/>
    <cellStyle name="ÅëÈ­ [0]_MBO_0" xfId="112" xr:uid="{00000000-0005-0000-0000-00006F000000}"/>
    <cellStyle name="AeE­ [0]_MBO96_1" xfId="113" xr:uid="{00000000-0005-0000-0000-000070000000}"/>
    <cellStyle name="ÅëÈ­ [0]_MBO96_1" xfId="114" xr:uid="{00000000-0005-0000-0000-000071000000}"/>
    <cellStyle name="Åëè­_¸åãâ" xfId="115" xr:uid="{00000000-0005-0000-0000-000072000000}"/>
    <cellStyle name="AeE­_±aA¸" xfId="116" xr:uid="{00000000-0005-0000-0000-000073000000}"/>
    <cellStyle name="ÅëÈ­_½ÂÀÎ¾÷Ã¼" xfId="117" xr:uid="{00000000-0005-0000-0000-000074000000}"/>
    <cellStyle name="AeE­_97MBO" xfId="118" xr:uid="{00000000-0005-0000-0000-000075000000}"/>
    <cellStyle name="ÅëÈ­_97MBO" xfId="119" xr:uid="{00000000-0005-0000-0000-000076000000}"/>
    <cellStyle name="AeE­_97MBO (2)" xfId="120" xr:uid="{00000000-0005-0000-0000-000077000000}"/>
    <cellStyle name="ÅëÈ­_97MBO (2)" xfId="121" xr:uid="{00000000-0005-0000-0000-000078000000}"/>
    <cellStyle name="AeE­_A|Aa¿e" xfId="122" xr:uid="{00000000-0005-0000-0000-000079000000}"/>
    <cellStyle name="ÅëÈ­_Á¦Ãâ¿ë" xfId="123" xr:uid="{00000000-0005-0000-0000-00007A000000}"/>
    <cellStyle name="AeE­_Ao±C Project" xfId="124" xr:uid="{00000000-0005-0000-0000-00007B000000}"/>
    <cellStyle name="ÅëÈ­_Áõ±Ç Project" xfId="125" xr:uid="{00000000-0005-0000-0000-00007C000000}"/>
    <cellStyle name="AeE­_COºI project" xfId="126" xr:uid="{00000000-0005-0000-0000-00007D000000}"/>
    <cellStyle name="ÅëÈ­_ÇÒºÎ project" xfId="127" xr:uid="{00000000-0005-0000-0000-00007E000000}"/>
    <cellStyle name="AeE­_laroux" xfId="128" xr:uid="{00000000-0005-0000-0000-00007F000000}"/>
    <cellStyle name="ÅëÈ­_laroux" xfId="129" xr:uid="{00000000-0005-0000-0000-000080000000}"/>
    <cellStyle name="AeE­_laroux_1" xfId="130" xr:uid="{00000000-0005-0000-0000-000081000000}"/>
    <cellStyle name="ÅëÈ­_laroux_1" xfId="131" xr:uid="{00000000-0005-0000-0000-000082000000}"/>
    <cellStyle name="AeE­_laroux_2" xfId="132" xr:uid="{00000000-0005-0000-0000-000083000000}"/>
    <cellStyle name="ÅëÈ­_laroux_2" xfId="133" xr:uid="{00000000-0005-0000-0000-000084000000}"/>
    <cellStyle name="AeE­_laroux_3" xfId="134" xr:uid="{00000000-0005-0000-0000-000085000000}"/>
    <cellStyle name="ÅëÈ­_laroux_3" xfId="135" xr:uid="{00000000-0005-0000-0000-000086000000}"/>
    <cellStyle name="AeE­_laroux_4" xfId="136" xr:uid="{00000000-0005-0000-0000-000087000000}"/>
    <cellStyle name="ÅëÈ­_laroux_4" xfId="137" xr:uid="{00000000-0005-0000-0000-000088000000}"/>
    <cellStyle name="AeE­_laroux_5" xfId="138" xr:uid="{00000000-0005-0000-0000-000089000000}"/>
    <cellStyle name="ÅëÈ­_laroux_5" xfId="139" xr:uid="{00000000-0005-0000-0000-00008A000000}"/>
    <cellStyle name="AeE­_MBO_0" xfId="140" xr:uid="{00000000-0005-0000-0000-00008B000000}"/>
    <cellStyle name="ÅëÈ­_MBO_0" xfId="141" xr:uid="{00000000-0005-0000-0000-00008C000000}"/>
    <cellStyle name="AeE­_MBO96_1" xfId="142" xr:uid="{00000000-0005-0000-0000-00008D000000}"/>
    <cellStyle name="ÅëÈ­_MBO96_1" xfId="143" xr:uid="{00000000-0005-0000-0000-00008E000000}"/>
    <cellStyle name="ALIGNMENT" xfId="144" xr:uid="{00000000-0005-0000-0000-00008F000000}"/>
    <cellStyle name="Arial 10" xfId="145" xr:uid="{00000000-0005-0000-0000-000090000000}"/>
    <cellStyle name="Arial 12" xfId="146" xr:uid="{00000000-0005-0000-0000-000091000000}"/>
    <cellStyle name="Äþ¸¶" xfId="147" xr:uid="{00000000-0005-0000-0000-000092000000}"/>
    <cellStyle name="Äþ¸¶ [0]" xfId="148" xr:uid="{00000000-0005-0000-0000-000093000000}"/>
    <cellStyle name="AÞ¸¶ [0]_±aA¸" xfId="149" xr:uid="{00000000-0005-0000-0000-000094000000}"/>
    <cellStyle name="ÄÞ¸¶ [0]_97MBO" xfId="150" xr:uid="{00000000-0005-0000-0000-000095000000}"/>
    <cellStyle name="AÞ¸¶ [0]_97MBO (2)" xfId="151" xr:uid="{00000000-0005-0000-0000-000096000000}"/>
    <cellStyle name="ÄÞ¸¶ [0]_97MBO (2)" xfId="152" xr:uid="{00000000-0005-0000-0000-000097000000}"/>
    <cellStyle name="AÞ¸¶ [0]_Ao±C Project" xfId="153" xr:uid="{00000000-0005-0000-0000-000098000000}"/>
    <cellStyle name="ÄÞ¸¶ [0]_Áõ±Ç Project" xfId="154" xr:uid="{00000000-0005-0000-0000-000099000000}"/>
    <cellStyle name="AÞ¸¶ [0]_COºI project" xfId="155" xr:uid="{00000000-0005-0000-0000-00009A000000}"/>
    <cellStyle name="ÄÞ¸¶ [0]_ÇÒºÎ project" xfId="156" xr:uid="{00000000-0005-0000-0000-00009B000000}"/>
    <cellStyle name="AÞ¸¶ [0]_laroux" xfId="157" xr:uid="{00000000-0005-0000-0000-00009C000000}"/>
    <cellStyle name="ÄÞ¸¶ [0]_laroux" xfId="158" xr:uid="{00000000-0005-0000-0000-00009D000000}"/>
    <cellStyle name="AÞ¸¶ [0]_laroux_1" xfId="159" xr:uid="{00000000-0005-0000-0000-00009E000000}"/>
    <cellStyle name="ÄÞ¸¶ [0]_laroux_1" xfId="160" xr:uid="{00000000-0005-0000-0000-00009F000000}"/>
    <cellStyle name="AÞ¸¶ [0]_laroux_2" xfId="161" xr:uid="{00000000-0005-0000-0000-0000A0000000}"/>
    <cellStyle name="ÄÞ¸¶ [0]_laroux_2" xfId="162" xr:uid="{00000000-0005-0000-0000-0000A1000000}"/>
    <cellStyle name="AÞ¸¶ [0]_laroux_3" xfId="163" xr:uid="{00000000-0005-0000-0000-0000A2000000}"/>
    <cellStyle name="ÄÞ¸¶ [0]_laroux_3" xfId="164" xr:uid="{00000000-0005-0000-0000-0000A3000000}"/>
    <cellStyle name="AÞ¸¶ [0]_MBO_0" xfId="165" xr:uid="{00000000-0005-0000-0000-0000A4000000}"/>
    <cellStyle name="ÄÞ¸¶ [0]_MBO_0" xfId="166" xr:uid="{00000000-0005-0000-0000-0000A5000000}"/>
    <cellStyle name="AÞ¸¶ [0]_MBO96_1" xfId="167" xr:uid="{00000000-0005-0000-0000-0000A6000000}"/>
    <cellStyle name="ÄÞ¸¶ [0]_MBO96_1" xfId="168" xr:uid="{00000000-0005-0000-0000-0000A7000000}"/>
    <cellStyle name="Äþ¸¶_¸åãâ" xfId="169" xr:uid="{00000000-0005-0000-0000-0000A8000000}"/>
    <cellStyle name="AÞ¸¶_±aA¸" xfId="170" xr:uid="{00000000-0005-0000-0000-0000A9000000}"/>
    <cellStyle name="ÄÞ¸¶_½ÂÀÎ¾÷Ã¼" xfId="171" xr:uid="{00000000-0005-0000-0000-0000AA000000}"/>
    <cellStyle name="AÞ¸¶_97MBO" xfId="172" xr:uid="{00000000-0005-0000-0000-0000AB000000}"/>
    <cellStyle name="ÄÞ¸¶_97MBO" xfId="173" xr:uid="{00000000-0005-0000-0000-0000AC000000}"/>
    <cellStyle name="AÞ¸¶_97MBO (2)" xfId="174" xr:uid="{00000000-0005-0000-0000-0000AD000000}"/>
    <cellStyle name="ÄÞ¸¶_97MBO (2)" xfId="175" xr:uid="{00000000-0005-0000-0000-0000AE000000}"/>
    <cellStyle name="AÞ¸¶_A|Aa¿e" xfId="176" xr:uid="{00000000-0005-0000-0000-0000AF000000}"/>
    <cellStyle name="ÄÞ¸¶_Á¦Ãâ¿ë" xfId="177" xr:uid="{00000000-0005-0000-0000-0000B0000000}"/>
    <cellStyle name="AÞ¸¶_Ao±C Project" xfId="178" xr:uid="{00000000-0005-0000-0000-0000B1000000}"/>
    <cellStyle name="ÄÞ¸¶_Áõ±Ç Project" xfId="179" xr:uid="{00000000-0005-0000-0000-0000B2000000}"/>
    <cellStyle name="AÞ¸¶_COºI project" xfId="180" xr:uid="{00000000-0005-0000-0000-0000B3000000}"/>
    <cellStyle name="ÄÞ¸¶_ÇÒºÎ project" xfId="181" xr:uid="{00000000-0005-0000-0000-0000B4000000}"/>
    <cellStyle name="AÞ¸¶_laroux" xfId="182" xr:uid="{00000000-0005-0000-0000-0000B5000000}"/>
    <cellStyle name="ÄÞ¸¶_laroux" xfId="183" xr:uid="{00000000-0005-0000-0000-0000B6000000}"/>
    <cellStyle name="AÞ¸¶_laroux_1" xfId="184" xr:uid="{00000000-0005-0000-0000-0000B7000000}"/>
    <cellStyle name="ÄÞ¸¶_laroux_1" xfId="185" xr:uid="{00000000-0005-0000-0000-0000B8000000}"/>
    <cellStyle name="AÞ¸¶_laroux_2" xfId="186" xr:uid="{00000000-0005-0000-0000-0000B9000000}"/>
    <cellStyle name="ÄÞ¸¶_laroux_2" xfId="187" xr:uid="{00000000-0005-0000-0000-0000BA000000}"/>
    <cellStyle name="AÞ¸¶_laroux_3" xfId="188" xr:uid="{00000000-0005-0000-0000-0000BB000000}"/>
    <cellStyle name="ÄÞ¸¶_laroux_3" xfId="189" xr:uid="{00000000-0005-0000-0000-0000BC000000}"/>
    <cellStyle name="AÞ¸¶_laroux_4" xfId="190" xr:uid="{00000000-0005-0000-0000-0000BD000000}"/>
    <cellStyle name="ÄÞ¸¶_laroux_4" xfId="191" xr:uid="{00000000-0005-0000-0000-0000BE000000}"/>
    <cellStyle name="AÞ¸¶_MBO_0" xfId="192" xr:uid="{00000000-0005-0000-0000-0000BF000000}"/>
    <cellStyle name="ÄÞ¸¶_MBO_0" xfId="193" xr:uid="{00000000-0005-0000-0000-0000C0000000}"/>
    <cellStyle name="AÞ¸¶_MBO96_1" xfId="194" xr:uid="{00000000-0005-0000-0000-0000C1000000}"/>
    <cellStyle name="ÄÞ¸¶_MBO96_1" xfId="195" xr:uid="{00000000-0005-0000-0000-0000C2000000}"/>
    <cellStyle name="blue$00" xfId="196" xr:uid="{00000000-0005-0000-0000-0000C3000000}"/>
    <cellStyle name="British Pound" xfId="197" xr:uid="{00000000-0005-0000-0000-0000C4000000}"/>
    <cellStyle name="Ç¥áø" xfId="198" xr:uid="{00000000-0005-0000-0000-0000C5000000}"/>
    <cellStyle name="C￥AØ_¿u°￡¿a¾aº¸°i" xfId="199" xr:uid="{00000000-0005-0000-0000-0000C6000000}"/>
    <cellStyle name="Ç¥ÁØ_95³¬½Ã½ÇÀû" xfId="200" xr:uid="{00000000-0005-0000-0000-0000C7000000}"/>
    <cellStyle name="C￥AØ_96_5¹e°iºn¿e" xfId="201" xr:uid="{00000000-0005-0000-0000-0000C8000000}"/>
    <cellStyle name="Ç¥ÁØ_96_5¹é°îºñ¿ë" xfId="202" xr:uid="{00000000-0005-0000-0000-0000C9000000}"/>
    <cellStyle name="C￥AØ_A|Aa¿e" xfId="203" xr:uid="{00000000-0005-0000-0000-0000CA000000}"/>
    <cellStyle name="Ç¥ÁØ_Á¦Ãâ¿ë" xfId="204" xr:uid="{00000000-0005-0000-0000-0000CB000000}"/>
    <cellStyle name="C￥AØ_laroux" xfId="205" xr:uid="{00000000-0005-0000-0000-0000CC000000}"/>
    <cellStyle name="Ç¥ÁØ_laroux" xfId="206" xr:uid="{00000000-0005-0000-0000-0000CD000000}"/>
    <cellStyle name="C￥AØ_laroux_1" xfId="207" xr:uid="{00000000-0005-0000-0000-0000CE000000}"/>
    <cellStyle name="Ç¥ÁØ_laroux_1" xfId="208" xr:uid="{00000000-0005-0000-0000-0000CF000000}"/>
    <cellStyle name="C￥AØ_laroux_2" xfId="209" xr:uid="{00000000-0005-0000-0000-0000D0000000}"/>
    <cellStyle name="Ç¥ÁØ_laroux_2" xfId="210" xr:uid="{00000000-0005-0000-0000-0000D1000000}"/>
    <cellStyle name="C￥AØ_laroux_3" xfId="211" xr:uid="{00000000-0005-0000-0000-0000D2000000}"/>
    <cellStyle name="Ç¥ÁØ_laroux_3" xfId="212" xr:uid="{00000000-0005-0000-0000-0000D3000000}"/>
    <cellStyle name="C￥AØ_laroux_4" xfId="213" xr:uid="{00000000-0005-0000-0000-0000D4000000}"/>
    <cellStyle name="Ç¥ÁØ_laroux_4" xfId="214" xr:uid="{00000000-0005-0000-0000-0000D5000000}"/>
    <cellStyle name="C￥AØ_laroux_5" xfId="215" xr:uid="{00000000-0005-0000-0000-0000D6000000}"/>
    <cellStyle name="Ç¥ÁØ_laroux_5" xfId="216" xr:uid="{00000000-0005-0000-0000-0000D7000000}"/>
    <cellStyle name="C￥AØ_Sheet1" xfId="217" xr:uid="{00000000-0005-0000-0000-0000D8000000}"/>
    <cellStyle name="Ç¥ÁØ_Sheet1" xfId="218" xr:uid="{00000000-0005-0000-0000-0000D9000000}"/>
    <cellStyle name="Calc Currency (0)" xfId="219" xr:uid="{00000000-0005-0000-0000-0000DA000000}"/>
    <cellStyle name="Case" xfId="220" xr:uid="{00000000-0005-0000-0000-0000DB000000}"/>
    <cellStyle name="category" xfId="221" xr:uid="{00000000-0005-0000-0000-0000DC000000}"/>
    <cellStyle name="Comma" xfId="222" xr:uid="{00000000-0005-0000-0000-0000DD000000}"/>
    <cellStyle name="Comma [0]" xfId="223" xr:uid="{00000000-0005-0000-0000-0000DE000000}"/>
    <cellStyle name="comma zerodec" xfId="224" xr:uid="{00000000-0005-0000-0000-0000DF000000}"/>
    <cellStyle name="Comma_ sg&amp;a br" xfId="225" xr:uid="{00000000-0005-0000-0000-0000E0000000}"/>
    <cellStyle name="Comma0" xfId="226" xr:uid="{00000000-0005-0000-0000-0000E1000000}"/>
    <cellStyle name="Currency" xfId="227" xr:uid="{00000000-0005-0000-0000-0000E2000000}"/>
    <cellStyle name="Currency [0]" xfId="228" xr:uid="{00000000-0005-0000-0000-0000E3000000}"/>
    <cellStyle name="currency-$" xfId="229" xr:uid="{00000000-0005-0000-0000-0000E4000000}"/>
    <cellStyle name="Currency_ sg&amp;a" xfId="230" xr:uid="{00000000-0005-0000-0000-0000E5000000}"/>
    <cellStyle name="Currency1" xfId="231" xr:uid="{00000000-0005-0000-0000-0000E6000000}"/>
    <cellStyle name="Date" xfId="232" xr:uid="{00000000-0005-0000-0000-0000E7000000}"/>
    <cellStyle name="Dollar (zero dec)" xfId="233" xr:uid="{00000000-0005-0000-0000-0000E8000000}"/>
    <cellStyle name="Double Accounting" xfId="234" xr:uid="{00000000-0005-0000-0000-0000E9000000}"/>
    <cellStyle name="Euro" xfId="235" xr:uid="{00000000-0005-0000-0000-0000EA000000}"/>
    <cellStyle name="Fixed" xfId="236" xr:uid="{00000000-0005-0000-0000-0000EB000000}"/>
    <cellStyle name="Grey" xfId="237" xr:uid="{00000000-0005-0000-0000-0000EC000000}"/>
    <cellStyle name="HEADER" xfId="238" xr:uid="{00000000-0005-0000-0000-0000ED000000}"/>
    <cellStyle name="Header1" xfId="239" xr:uid="{00000000-0005-0000-0000-0000EE000000}"/>
    <cellStyle name="Header2" xfId="240" xr:uid="{00000000-0005-0000-0000-0000EF000000}"/>
    <cellStyle name="Heading" xfId="241" xr:uid="{00000000-0005-0000-0000-0000F0000000}"/>
    <cellStyle name="Heading1" xfId="242" xr:uid="{00000000-0005-0000-0000-0000F1000000}"/>
    <cellStyle name="Heading2" xfId="243" xr:uid="{00000000-0005-0000-0000-0000F2000000}"/>
    <cellStyle name="HeadingS" xfId="244" xr:uid="{00000000-0005-0000-0000-0000F3000000}"/>
    <cellStyle name="Hyperlink_NEGS" xfId="245" xr:uid="{00000000-0005-0000-0000-0000F4000000}"/>
    <cellStyle name="Input" xfId="246" xr:uid="{00000000-0005-0000-0000-0000F5000000}"/>
    <cellStyle name="Input [yellow]" xfId="247" xr:uid="{00000000-0005-0000-0000-0000F6000000}"/>
    <cellStyle name="InputBlueFont" xfId="248" xr:uid="{00000000-0005-0000-0000-0000F7000000}"/>
    <cellStyle name="Milliers [0]_Arabian Spec" xfId="249" xr:uid="{00000000-0005-0000-0000-0000F8000000}"/>
    <cellStyle name="Milliers_Arabian Spec" xfId="250" xr:uid="{00000000-0005-0000-0000-0000F9000000}"/>
    <cellStyle name="MLHeaderSection" xfId="251" xr:uid="{00000000-0005-0000-0000-0000FA000000}"/>
    <cellStyle name="Model" xfId="252" xr:uid="{00000000-0005-0000-0000-0000FB000000}"/>
    <cellStyle name="Mon?aire [0]_Arabian Spec" xfId="253" xr:uid="{00000000-0005-0000-0000-0000FC000000}"/>
    <cellStyle name="Mon?aire_Arabian Spec" xfId="254" xr:uid="{00000000-0005-0000-0000-0000FD000000}"/>
    <cellStyle name="Multiple" xfId="255" xr:uid="{00000000-0005-0000-0000-0000FE000000}"/>
    <cellStyle name="Multiple0" xfId="256" xr:uid="{00000000-0005-0000-0000-0000FF000000}"/>
    <cellStyle name="no dec" xfId="257" xr:uid="{00000000-0005-0000-0000-000000010000}"/>
    <cellStyle name="Normal - Style1" xfId="258" xr:uid="{00000000-0005-0000-0000-000001010000}"/>
    <cellStyle name="Normal - Style2" xfId="259" xr:uid="{00000000-0005-0000-0000-000002010000}"/>
    <cellStyle name="Normal - Style3" xfId="260" xr:uid="{00000000-0005-0000-0000-000003010000}"/>
    <cellStyle name="Normal - Style4" xfId="261" xr:uid="{00000000-0005-0000-0000-000004010000}"/>
    <cellStyle name="Normal - Style5" xfId="262" xr:uid="{00000000-0005-0000-0000-000005010000}"/>
    <cellStyle name="Normal - Style6" xfId="263" xr:uid="{00000000-0005-0000-0000-000006010000}"/>
    <cellStyle name="Normal - Style7" xfId="264" xr:uid="{00000000-0005-0000-0000-000007010000}"/>
    <cellStyle name="Normal - Style8" xfId="265" xr:uid="{00000000-0005-0000-0000-000008010000}"/>
    <cellStyle name="Normal_ sg&amp;a b" xfId="266" xr:uid="{00000000-0005-0000-0000-000009010000}"/>
    <cellStyle name="Œ…?æ맖?e [0.00]_laroux" xfId="267" xr:uid="{00000000-0005-0000-0000-00000A010000}"/>
    <cellStyle name="Œ…?æ맖?e_laroux" xfId="268" xr:uid="{00000000-0005-0000-0000-00000B010000}"/>
    <cellStyle name="Output Amounts" xfId="269" xr:uid="{00000000-0005-0000-0000-00000C010000}"/>
    <cellStyle name="Output Column Headings" xfId="270" xr:uid="{00000000-0005-0000-0000-00000D010000}"/>
    <cellStyle name="Output Line Items" xfId="271" xr:uid="{00000000-0005-0000-0000-00000E010000}"/>
    <cellStyle name="Output Report Heading" xfId="272" xr:uid="{00000000-0005-0000-0000-00000F010000}"/>
    <cellStyle name="Output Report Title" xfId="273" xr:uid="{00000000-0005-0000-0000-000010010000}"/>
    <cellStyle name="PageSubtitle" xfId="274" xr:uid="{00000000-0005-0000-0000-000011010000}"/>
    <cellStyle name="PageTitle" xfId="275" xr:uid="{00000000-0005-0000-0000-000012010000}"/>
    <cellStyle name="PARK" xfId="276" xr:uid="{00000000-0005-0000-0000-000013010000}"/>
    <cellStyle name="Percent" xfId="277" xr:uid="{00000000-0005-0000-0000-000014010000}"/>
    <cellStyle name="Percent (0)" xfId="278" xr:uid="{00000000-0005-0000-0000-000015010000}"/>
    <cellStyle name="Percent [2]" xfId="279" xr:uid="{00000000-0005-0000-0000-000016010000}"/>
    <cellStyle name="Percent_02엘지카드(최종)" xfId="280" xr:uid="{00000000-0005-0000-0000-000017010000}"/>
    <cellStyle name="Percent0" xfId="281" xr:uid="{00000000-0005-0000-0000-000018010000}"/>
    <cellStyle name="s]_x000d__x000a_run=c:\Hedgehog\app31.exe_x000d__x000a_spooler=yes_x000d__x000a_load=_x000d__x000a_run=_x000d__x000a_Beep=yes_x000d__x000a_NullPort=None_x000d__x000a_BorderWidth=3_x000d__x000a_CursorBlinkRate=530_x000d__x000a_D" xfId="282" xr:uid="{00000000-0005-0000-0000-000019010000}"/>
    <cellStyle name="Single Accounting" xfId="283" xr:uid="{00000000-0005-0000-0000-00001A010000}"/>
    <cellStyle name="subhead" xfId="284" xr:uid="{00000000-0005-0000-0000-00001B010000}"/>
    <cellStyle name="Tickmark" xfId="285" xr:uid="{00000000-0005-0000-0000-00001C010000}"/>
    <cellStyle name="Times 10" xfId="286" xr:uid="{00000000-0005-0000-0000-00001D010000}"/>
    <cellStyle name="Times 12" xfId="287" xr:uid="{00000000-0005-0000-0000-00001E010000}"/>
    <cellStyle name="Total" xfId="288" xr:uid="{00000000-0005-0000-0000-00001F010000}"/>
    <cellStyle name="Yen" xfId="289" xr:uid="{00000000-0005-0000-0000-000020010000}"/>
    <cellStyle name="강조색1" xfId="290" builtinId="29" customBuiltin="1"/>
    <cellStyle name="강조색2" xfId="291" builtinId="33" customBuiltin="1"/>
    <cellStyle name="강조색3" xfId="292" builtinId="37" customBuiltin="1"/>
    <cellStyle name="강조색4" xfId="293" builtinId="41" customBuiltin="1"/>
    <cellStyle name="강조색5" xfId="294" builtinId="45" customBuiltin="1"/>
    <cellStyle name="강조색6" xfId="295" builtinId="49" customBuiltin="1"/>
    <cellStyle name="검증" xfId="296" xr:uid="{00000000-0005-0000-0000-000027010000}"/>
    <cellStyle name="경고문" xfId="297" builtinId="11" customBuiltin="1"/>
    <cellStyle name="계산" xfId="298" builtinId="22" customBuiltin="1"/>
    <cellStyle name="고정소숫점" xfId="299" xr:uid="{00000000-0005-0000-0000-00002A010000}"/>
    <cellStyle name="고정출력1" xfId="300" xr:uid="{00000000-0005-0000-0000-00002B010000}"/>
    <cellStyle name="고정출력2" xfId="301" xr:uid="{00000000-0005-0000-0000-00002C010000}"/>
    <cellStyle name="咬訌裝?INCOM1" xfId="302" xr:uid="{00000000-0005-0000-0000-00002D010000}"/>
    <cellStyle name="咬訌裝?INCOM10" xfId="303" xr:uid="{00000000-0005-0000-0000-00002E010000}"/>
    <cellStyle name="咬訌裝?INCOM2" xfId="304" xr:uid="{00000000-0005-0000-0000-00002F010000}"/>
    <cellStyle name="咬訌裝?INCOM3" xfId="305" xr:uid="{00000000-0005-0000-0000-000030010000}"/>
    <cellStyle name="咬訌裝?INCOM4" xfId="306" xr:uid="{00000000-0005-0000-0000-000031010000}"/>
    <cellStyle name="咬訌裝?INCOM5" xfId="307" xr:uid="{00000000-0005-0000-0000-000032010000}"/>
    <cellStyle name="咬訌裝?INCOM6" xfId="308" xr:uid="{00000000-0005-0000-0000-000033010000}"/>
    <cellStyle name="咬訌裝?INCOM7" xfId="309" xr:uid="{00000000-0005-0000-0000-000034010000}"/>
    <cellStyle name="咬訌裝?INCOM8" xfId="310" xr:uid="{00000000-0005-0000-0000-000035010000}"/>
    <cellStyle name="咬訌裝?INCOM9" xfId="311" xr:uid="{00000000-0005-0000-0000-000036010000}"/>
    <cellStyle name="咬訌裝?PRIB11" xfId="312" xr:uid="{00000000-0005-0000-0000-000037010000}"/>
    <cellStyle name="咬訌裝?report-2 " xfId="313" xr:uid="{00000000-0005-0000-0000-000038010000}"/>
    <cellStyle name="금액" xfId="314" xr:uid="{00000000-0005-0000-0000-000039010000}"/>
    <cellStyle name="나쁨" xfId="315" builtinId="27" customBuiltin="1"/>
    <cellStyle name="날짜" xfId="316" xr:uid="{00000000-0005-0000-0000-00003B010000}"/>
    <cellStyle name="달러" xfId="317" xr:uid="{00000000-0005-0000-0000-00003C010000}"/>
    <cellStyle name="뒤에 오는 하이퍼링크_030502업무보고서2003년1분기(LG카드)" xfId="318" xr:uid="{00000000-0005-0000-0000-00003D010000}"/>
    <cellStyle name="똿뗦먛귟 [0.00]_PRODUCT DETAIL Q1" xfId="319" xr:uid="{00000000-0005-0000-0000-00003E010000}"/>
    <cellStyle name="똿뗦먛귟_PRODUCT DETAIL Q1" xfId="320" xr:uid="{00000000-0005-0000-0000-00003F010000}"/>
    <cellStyle name="메모" xfId="321" builtinId="10" customBuiltin="1"/>
    <cellStyle name="메시지" xfId="322" xr:uid="{00000000-0005-0000-0000-000041010000}"/>
    <cellStyle name="믅됞 [0.00]_PRODUCT DETAIL Q1" xfId="323" xr:uid="{00000000-0005-0000-0000-000042010000}"/>
    <cellStyle name="믅됞_PRODUCT DETAIL Q1" xfId="324" xr:uid="{00000000-0005-0000-0000-000043010000}"/>
    <cellStyle name="보고서" xfId="325" xr:uid="{00000000-0005-0000-0000-000045010000}"/>
    <cellStyle name="보통" xfId="326" builtinId="28" customBuiltin="1"/>
    <cellStyle name="뷭?_BOOKSHIP" xfId="327" xr:uid="{00000000-0005-0000-0000-000047010000}"/>
    <cellStyle name="사용자" xfId="328" xr:uid="{00000000-0005-0000-0000-000048010000}"/>
    <cellStyle name="새귑[0]_롤痰삠悧 " xfId="329" xr:uid="{00000000-0005-0000-0000-000049010000}"/>
    <cellStyle name="새귑_롤痰삠悧 " xfId="330" xr:uid="{00000000-0005-0000-0000-00004A010000}"/>
    <cellStyle name="설명 텍스트" xfId="331" builtinId="53" customBuiltin="1"/>
    <cellStyle name="셀 확인" xfId="332" builtinId="23" customBuiltin="1"/>
    <cellStyle name="숫자" xfId="333" xr:uid="{00000000-0005-0000-0000-00004D010000}"/>
    <cellStyle name="쉼표 [0]" xfId="334" builtinId="6"/>
    <cellStyle name="쉼표 [0] 2" xfId="377" xr:uid="{00000000-0005-0000-0000-00004F010000}"/>
    <cellStyle name="스타일 1" xfId="335" xr:uid="{00000000-0005-0000-0000-000050010000}"/>
    <cellStyle name="스타일 2" xfId="336" xr:uid="{00000000-0005-0000-0000-000051010000}"/>
    <cellStyle name="스타일 3" xfId="337" xr:uid="{00000000-0005-0000-0000-000052010000}"/>
    <cellStyle name="스타일 4" xfId="338" xr:uid="{00000000-0005-0000-0000-000053010000}"/>
    <cellStyle name="스타일 5" xfId="339" xr:uid="{00000000-0005-0000-0000-000054010000}"/>
    <cellStyle name="안건회계법인" xfId="340" xr:uid="{00000000-0005-0000-0000-000055010000}"/>
    <cellStyle name="연결된 셀" xfId="341" builtinId="24" customBuiltin="1"/>
    <cellStyle name="요약" xfId="342" builtinId="25" customBuiltin="1"/>
    <cellStyle name="원" xfId="343" xr:uid="{00000000-0005-0000-0000-000058010000}"/>
    <cellStyle name="원_손익계산서(05년6월)_2" xfId="344" xr:uid="{00000000-0005-0000-0000-000059010000}"/>
    <cellStyle name="원통화" xfId="345" xr:uid="{00000000-0005-0000-0000-00005A010000}"/>
    <cellStyle name="입력" xfId="346" builtinId="20" customBuiltin="1"/>
    <cellStyle name="자리수" xfId="347" xr:uid="{00000000-0005-0000-0000-00005C010000}"/>
    <cellStyle name="자리수0" xfId="348" xr:uid="{00000000-0005-0000-0000-00005D010000}"/>
    <cellStyle name="제목" xfId="349" builtinId="15" customBuiltin="1"/>
    <cellStyle name="제목 1" xfId="350" builtinId="16" customBuiltin="1"/>
    <cellStyle name="제목 2" xfId="351" builtinId="17" customBuiltin="1"/>
    <cellStyle name="제목 3" xfId="352" builtinId="18" customBuiltin="1"/>
    <cellStyle name="제목 4" xfId="353" builtinId="19" customBuiltin="1"/>
    <cellStyle name="제목1" xfId="354" xr:uid="{00000000-0005-0000-0000-000063010000}"/>
    <cellStyle name="제목2" xfId="355" xr:uid="{00000000-0005-0000-0000-000064010000}"/>
    <cellStyle name="좋은양식" xfId="356" xr:uid="{00000000-0005-0000-0000-000065010000}"/>
    <cellStyle name="좋음" xfId="357" builtinId="26" customBuiltin="1"/>
    <cellStyle name="지정되지 않음" xfId="358" xr:uid="{00000000-0005-0000-0000-000067010000}"/>
    <cellStyle name="출력" xfId="359" builtinId="21" customBuiltin="1"/>
    <cellStyle name="콤냡?&lt;_x000f_$??: `1_1" xfId="360" xr:uid="{00000000-0005-0000-0000-000069010000}"/>
    <cellStyle name="콤냡?&lt;_x000f_$??:_x0009_`1_1" xfId="378" xr:uid="{00000000-0005-0000-0000-00006A010000}"/>
    <cellStyle name="콤마 [0]_  종  합  " xfId="361" xr:uid="{00000000-0005-0000-0000-00006B010000}"/>
    <cellStyle name="콤마_  종  합  " xfId="362" xr:uid="{00000000-0005-0000-0000-00006C010000}"/>
    <cellStyle name="통T" xfId="363" xr:uid="{00000000-0005-0000-0000-00006D010000}"/>
    <cellStyle name="通貨 [0.00]_Hitachi M Report 0527 Fax Cover" xfId="364" xr:uid="{00000000-0005-0000-0000-00006E010000}"/>
    <cellStyle name="通貨_Hitachi M Report 0527 Fax Cover" xfId="365" xr:uid="{00000000-0005-0000-0000-00006F010000}"/>
    <cellStyle name="트럭" xfId="366" xr:uid="{00000000-0005-0000-0000-000070010000}"/>
    <cellStyle name="퍼센트" xfId="367" xr:uid="{00000000-0005-0000-0000-000071010000}"/>
    <cellStyle name="표준" xfId="0" builtinId="0"/>
    <cellStyle name="표준 12" xfId="379" xr:uid="{00000000-0005-0000-0000-000073010000}"/>
    <cellStyle name="표준 2" xfId="376" xr:uid="{00000000-0005-0000-0000-000074010000}"/>
    <cellStyle name="표준 2 2" xfId="381" xr:uid="{ABD018D6-E65C-4B6D-9D91-C60D86F9F273}"/>
    <cellStyle name="표준 3" xfId="380" xr:uid="{C7E4ED6C-E5C5-460F-AA57-D20984297FDA}"/>
    <cellStyle name="표준 4" xfId="382" xr:uid="{B3F1124D-9F03-4BE2-9AE4-A12AD0B20D8C}"/>
    <cellStyle name="標準_Akia(F）-8" xfId="368" xr:uid="{00000000-0005-0000-0000-000075010000}"/>
    <cellStyle name="표준_업무보고서양식(2차)" xfId="369" xr:uid="{00000000-0005-0000-0000-000077010000}"/>
    <cellStyle name="합산" xfId="370" xr:uid="{00000000-0005-0000-0000-00007A010000}"/>
    <cellStyle name="桁区切り [0.00]_Hitachi M Report 0527 Fax Cover" xfId="371" xr:uid="{00000000-0005-0000-0000-00007B010000}"/>
    <cellStyle name="桁区切り_Hitachi M Report 0527 Fax Cover" xfId="372" xr:uid="{00000000-0005-0000-0000-00007C010000}"/>
    <cellStyle name="화폐기호" xfId="373" xr:uid="{00000000-0005-0000-0000-00007D010000}"/>
    <cellStyle name="화폐기호0" xfId="374" xr:uid="{00000000-0005-0000-0000-00007E010000}"/>
    <cellStyle name="확인" xfId="375" xr:uid="{00000000-0005-0000-0000-00007F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50629;&#47924;&#48372;&#44256;&#49436;%20&#50577;&#4988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8324;&#52392;_&#44552;&#50997;&#50948;%20&#46321;&#47197;%20&#45824;&#48512;&#50629;&#51088;%20&#50629;&#47924;&#48372;&#44256;&#49436;(&#48324;&#51648;%20&#51228;8&#54840;)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보고서목록서식(작성필요)"/>
      <sheetName val="체크리스트"/>
      <sheetName val="작성법"/>
      <sheetName val="공통속성(작성시 참조)"/>
      <sheetName val="형식 미리보기"/>
      <sheetName val="ZY102(일반형-개정)(개정시 참고)"/>
      <sheetName val="ZY100(일반형-신설)"/>
      <sheetName val="ZY200(행가변-신설)"/>
      <sheetName val="ZY300(행가변합계-신설)"/>
      <sheetName val="ZY400(다중행가변-신설)"/>
    </sheetNames>
    <sheetDataSet>
      <sheetData sheetId="0"/>
      <sheetData sheetId="1"/>
      <sheetData sheetId="2"/>
      <sheetData sheetId="3"/>
      <sheetData sheetId="4">
        <row r="2">
          <cell r="A2" t="str">
            <v>일반(행열고정)</v>
          </cell>
          <cell r="B2" t="str">
            <v>1개월이내</v>
          </cell>
          <cell r="C2" t="str">
            <v>월</v>
          </cell>
          <cell r="D2" t="str">
            <v>일반</v>
          </cell>
          <cell r="F2" t="str">
            <v>공통(계산+검증)</v>
          </cell>
        </row>
        <row r="3">
          <cell r="A3" t="str">
            <v>행가변</v>
          </cell>
          <cell r="B3" t="str">
            <v>2개월이내</v>
          </cell>
          <cell r="C3" t="str">
            <v>분기</v>
          </cell>
          <cell r="D3" t="str">
            <v>해외점포</v>
          </cell>
          <cell r="F3" t="str">
            <v>검증</v>
          </cell>
        </row>
        <row r="4">
          <cell r="A4" t="str">
            <v>행가변합계</v>
          </cell>
          <cell r="B4" t="str">
            <v>3개월이내</v>
          </cell>
          <cell r="C4" t="str">
            <v>반기</v>
          </cell>
          <cell r="D4" t="str">
            <v>신탁합동</v>
          </cell>
          <cell r="F4" t="str">
            <v>계산</v>
          </cell>
        </row>
        <row r="5">
          <cell r="A5" t="str">
            <v>다중행가변</v>
          </cell>
          <cell r="B5" t="str">
            <v>45일 이내</v>
          </cell>
          <cell r="C5" t="str">
            <v>연</v>
          </cell>
          <cell r="D5" t="str">
            <v>지역(국내분/해외분/총괄분)</v>
          </cell>
        </row>
        <row r="6">
          <cell r="C6" t="str">
            <v>결산</v>
          </cell>
          <cell r="D6" t="str">
            <v>계정구분(은행/신탁/종금/합계)</v>
          </cell>
        </row>
        <row r="7">
          <cell r="C7" t="str">
            <v>일</v>
          </cell>
          <cell r="D7" t="str">
            <v>지역(국내분/해외분/총괄분/역외분)</v>
          </cell>
        </row>
        <row r="8">
          <cell r="A8" t="str">
            <v>필수</v>
          </cell>
          <cell r="C8" t="str">
            <v>주</v>
          </cell>
          <cell r="D8" t="str">
            <v>기간(1개월이내/2개월/3개월/4개월/5~6개월/7~1년/1년초과/합계)</v>
          </cell>
        </row>
        <row r="9">
          <cell r="A9" t="str">
            <v>선택</v>
          </cell>
          <cell r="C9" t="str">
            <v>15일</v>
          </cell>
          <cell r="D9" t="str">
            <v>투자신탁(주식/혼합/채권)</v>
          </cell>
        </row>
        <row r="10">
          <cell r="D10" t="str">
            <v>담당부서구분(증권(금융)부/신탁부,국제금융부)</v>
          </cell>
        </row>
        <row r="11">
          <cell r="D11" t="str">
            <v>차수구분</v>
          </cell>
        </row>
        <row r="12">
          <cell r="D12" t="str">
            <v>상품코드</v>
          </cell>
        </row>
        <row r="13">
          <cell r="D13" t="str">
            <v>전체구분</v>
          </cell>
        </row>
        <row r="14">
          <cell r="D14" t="str">
            <v>리스크구분</v>
          </cell>
        </row>
        <row r="15">
          <cell r="D15" t="str">
            <v>지역(국내분/해외분/총괄분/역외분)</v>
          </cell>
        </row>
        <row r="16">
          <cell r="D16" t="str">
            <v>지역(총괄분/해외분/신탁분)</v>
          </cell>
        </row>
        <row r="17">
          <cell r="D17" t="str">
            <v>운용관리업무의 일부 위탁현황</v>
          </cell>
        </row>
        <row r="18">
          <cell r="D18" t="str">
            <v>적립금운용방법 제시현황</v>
          </cell>
        </row>
        <row r="19">
          <cell r="D19" t="str">
            <v>외화증권운용지시 현황</v>
          </cell>
        </row>
        <row r="20">
          <cell r="D20" t="str">
            <v>생보사 특별계정 상품구분</v>
          </cell>
        </row>
        <row r="21">
          <cell r="D21" t="str">
            <v>손보사 특별계정 상품구분</v>
          </cell>
        </row>
        <row r="22">
          <cell r="D22" t="str">
            <v>파생상품업무보고서 통합/신탁</v>
          </cell>
        </row>
        <row r="23">
          <cell r="D23" t="str">
            <v>업종명</v>
          </cell>
        </row>
        <row r="24">
          <cell r="D24" t="str">
            <v>위험가중자산(내부등급법)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-2.등록연혁"/>
      <sheetName val="1-3.타업종겸업여부"/>
      <sheetName val="1-4.상호변경연혁"/>
      <sheetName val="1-5.점포별임직원현황"/>
      <sheetName val="1-8.대주주현황"/>
      <sheetName val="1-9.주주현황"/>
      <sheetName val="1-10.타법인출자현황"/>
      <sheetName val="1-12.사업장현황"/>
      <sheetName val="2-1.재무상태표"/>
      <sheetName val="2-2.손익계산서"/>
      <sheetName val="3-1.차입금명세"/>
      <sheetName val="3-2.사채발행명세"/>
      <sheetName val="4-1. 금액대별대출금명세"/>
      <sheetName val="4-3.개인신용대출금 신용평점 구간별 명세"/>
      <sheetName val="4-4.개인신용대출금 신용평점 구간별 신규취급액"/>
      <sheetName val="4-5.담보대출금담보인정비율"/>
      <sheetName val="4-7.매입채권 현황"/>
      <sheetName val="4-8.매입채권 관리현황"/>
      <sheetName val="4-9.신규매입채권의 매입처별현황"/>
      <sheetName val="4-10.매입채권의 매각처별현황"/>
      <sheetName val="4-11 매입채권 위임추심현황"/>
      <sheetName val="5-1.대출금연체현황"/>
      <sheetName val="5-2.연체전이율현황"/>
      <sheetName val="6-1.대출금리현황"/>
      <sheetName val="6-4.차입금리현황"/>
      <sheetName val="7-1.대주주와의거래(자금조달)"/>
      <sheetName val="7-2.대주주와의거래(자금운용)"/>
      <sheetName val="8-1.우수대부업자 신용대출 분위별현황"/>
      <sheetName val="8-2.우수대부업자 승인율"/>
      <sheetName val="8-3.우수대부업자 은행조달"/>
      <sheetName val="8-4.우수대부업자 플랫폼"/>
      <sheetName val="9-1.담보인정비율"/>
      <sheetName val="9-2. 상환대부액의대부기간별현황"/>
      <sheetName val="9-3. 신규대부액의직업별용도별현황"/>
      <sheetName val="11-1.해외현지법인 현황"/>
      <sheetName val="11-2.BS"/>
      <sheetName val="11-3.P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DE87B-C145-473F-8BE0-678E65AE213C}">
  <sheetPr>
    <pageSetUpPr fitToPage="1"/>
  </sheetPr>
  <dimension ref="A1:J60"/>
  <sheetViews>
    <sheetView showGridLines="0" tabSelected="1" view="pageBreakPreview" zoomScale="85" zoomScaleSheetLayoutView="85" workbookViewId="0">
      <selection activeCell="C1" sqref="C1"/>
    </sheetView>
  </sheetViews>
  <sheetFormatPr defaultRowHeight="16.5"/>
  <cols>
    <col min="1" max="1" width="5.109375" style="18" customWidth="1"/>
    <col min="2" max="2" width="18.109375" style="18" customWidth="1"/>
    <col min="3" max="3" width="19.44140625" style="18" customWidth="1"/>
    <col min="4" max="4" width="46.44140625" style="18" customWidth="1"/>
    <col min="5" max="5" width="11.21875" style="18" customWidth="1"/>
    <col min="6" max="6" width="9.5546875" style="18" customWidth="1"/>
    <col min="7" max="7" width="22.5546875" style="18" customWidth="1"/>
    <col min="8" max="8" width="27.109375" style="18" customWidth="1"/>
    <col min="9" max="9" width="9.5546875" style="18" customWidth="1"/>
    <col min="10" max="16384" width="8.88671875" style="18"/>
  </cols>
  <sheetData>
    <row r="1" spans="1:6" ht="33.75" customHeight="1">
      <c r="A1" s="21" t="s">
        <v>6</v>
      </c>
      <c r="B1" s="22"/>
      <c r="C1" s="23"/>
      <c r="D1" s="24"/>
    </row>
    <row r="2" spans="1:6" ht="15.75" customHeight="1">
      <c r="A2" s="25"/>
      <c r="B2" s="26"/>
      <c r="C2" s="27"/>
      <c r="D2" s="27"/>
    </row>
    <row r="3" spans="1:6" ht="27.75" customHeight="1">
      <c r="A3" s="173" t="s">
        <v>7</v>
      </c>
      <c r="B3" s="174"/>
      <c r="C3" s="174"/>
      <c r="D3" s="161" t="s">
        <v>8</v>
      </c>
    </row>
    <row r="4" spans="1:6" ht="16.5" customHeight="1">
      <c r="A4" s="158" t="s">
        <v>13</v>
      </c>
      <c r="B4" s="172" t="s">
        <v>14</v>
      </c>
      <c r="C4" s="172"/>
      <c r="D4" s="20"/>
      <c r="E4" s="28"/>
      <c r="F4" s="28"/>
    </row>
    <row r="5" spans="1:6" ht="16.5" customHeight="1">
      <c r="A5" s="158" t="s">
        <v>15</v>
      </c>
      <c r="B5" s="172" t="s">
        <v>16</v>
      </c>
      <c r="C5" s="172"/>
      <c r="D5" s="20"/>
    </row>
    <row r="6" spans="1:6" s="42" customFormat="1" ht="16.5" customHeight="1">
      <c r="A6" s="158" t="s">
        <v>17</v>
      </c>
      <c r="B6" s="172" t="s">
        <v>18</v>
      </c>
      <c r="C6" s="172"/>
      <c r="D6" s="20"/>
    </row>
    <row r="7" spans="1:6" s="42" customFormat="1" ht="16.5" customHeight="1">
      <c r="A7" s="158" t="s">
        <v>19</v>
      </c>
      <c r="B7" s="176" t="s">
        <v>20</v>
      </c>
      <c r="C7" s="177"/>
      <c r="D7" s="20"/>
    </row>
    <row r="8" spans="1:6" s="62" customFormat="1" ht="16.5" customHeight="1">
      <c r="A8" s="178" t="s">
        <v>113</v>
      </c>
      <c r="B8" s="180" t="s">
        <v>21</v>
      </c>
      <c r="C8" s="181"/>
      <c r="D8" s="20" t="s">
        <v>22</v>
      </c>
      <c r="E8" s="61"/>
    </row>
    <row r="9" spans="1:6" s="62" customFormat="1" ht="16.5" customHeight="1">
      <c r="A9" s="179"/>
      <c r="B9" s="182"/>
      <c r="C9" s="183"/>
      <c r="D9" s="20" t="s">
        <v>23</v>
      </c>
      <c r="E9" s="61"/>
    </row>
    <row r="10" spans="1:6" s="62" customFormat="1" ht="16.5" customHeight="1">
      <c r="A10" s="178" t="s">
        <v>114</v>
      </c>
      <c r="B10" s="180" t="s">
        <v>24</v>
      </c>
      <c r="C10" s="181"/>
      <c r="D10" s="20" t="s">
        <v>22</v>
      </c>
      <c r="E10" s="61"/>
    </row>
    <row r="11" spans="1:6" s="62" customFormat="1" ht="16.5" customHeight="1">
      <c r="A11" s="179"/>
      <c r="B11" s="182"/>
      <c r="C11" s="183"/>
      <c r="D11" s="20" t="s">
        <v>23</v>
      </c>
      <c r="E11" s="61"/>
    </row>
    <row r="12" spans="1:6" ht="16.5" customHeight="1">
      <c r="A12" s="158" t="s">
        <v>25</v>
      </c>
      <c r="B12" s="172" t="s">
        <v>26</v>
      </c>
      <c r="C12" s="172"/>
      <c r="D12" s="20"/>
      <c r="F12" s="28"/>
    </row>
    <row r="13" spans="1:6" ht="16.5" customHeight="1">
      <c r="A13" s="158" t="s">
        <v>27</v>
      </c>
      <c r="B13" s="172" t="s">
        <v>28</v>
      </c>
      <c r="C13" s="172"/>
      <c r="D13" s="20"/>
    </row>
    <row r="14" spans="1:6" s="42" customFormat="1" ht="16.5" customHeight="1">
      <c r="A14" s="158" t="s">
        <v>29</v>
      </c>
      <c r="B14" s="172" t="s">
        <v>30</v>
      </c>
      <c r="C14" s="172"/>
      <c r="D14" s="20" t="s">
        <v>31</v>
      </c>
    </row>
    <row r="15" spans="1:6" s="42" customFormat="1" ht="16.5" customHeight="1">
      <c r="A15" s="158" t="s">
        <v>32</v>
      </c>
      <c r="B15" s="176" t="s">
        <v>33</v>
      </c>
      <c r="C15" s="177"/>
      <c r="D15" s="20" t="s">
        <v>34</v>
      </c>
    </row>
    <row r="16" spans="1:6" s="42" customFormat="1" ht="16.5" customHeight="1">
      <c r="A16" s="158" t="s">
        <v>35</v>
      </c>
      <c r="B16" s="176" t="s">
        <v>36</v>
      </c>
      <c r="C16" s="177"/>
      <c r="D16" s="20"/>
    </row>
    <row r="17" spans="1:10" s="42" customFormat="1" ht="16.5" customHeight="1">
      <c r="A17" s="158" t="s">
        <v>37</v>
      </c>
      <c r="B17" s="176" t="s">
        <v>38</v>
      </c>
      <c r="C17" s="177"/>
      <c r="D17" s="20"/>
    </row>
    <row r="18" spans="1:10" s="42" customFormat="1" ht="16.5" customHeight="1">
      <c r="A18" s="158" t="s">
        <v>39</v>
      </c>
      <c r="B18" s="159" t="s">
        <v>40</v>
      </c>
      <c r="C18" s="160"/>
      <c r="D18" s="20"/>
    </row>
    <row r="19" spans="1:10" ht="16.5" customHeight="1">
      <c r="A19" s="158" t="s">
        <v>41</v>
      </c>
      <c r="B19" s="172" t="s">
        <v>42</v>
      </c>
      <c r="C19" s="172"/>
      <c r="D19" s="20"/>
      <c r="F19" s="28"/>
    </row>
    <row r="20" spans="1:10" ht="16.5" customHeight="1">
      <c r="A20" s="158" t="s">
        <v>43</v>
      </c>
      <c r="B20" s="175" t="s">
        <v>44</v>
      </c>
      <c r="C20" s="175"/>
      <c r="D20" s="20" t="s">
        <v>45</v>
      </c>
      <c r="E20" s="19"/>
    </row>
    <row r="21" spans="1:10" ht="16.5" customHeight="1">
      <c r="A21" s="158" t="s">
        <v>46</v>
      </c>
      <c r="B21" s="176" t="s">
        <v>47</v>
      </c>
      <c r="C21" s="177"/>
      <c r="D21" s="44" t="s">
        <v>48</v>
      </c>
      <c r="E21" s="28"/>
    </row>
    <row r="22" spans="1:10" s="42" customFormat="1" ht="16.5" customHeight="1">
      <c r="A22" s="158" t="s">
        <v>49</v>
      </c>
      <c r="B22" s="176" t="s">
        <v>50</v>
      </c>
      <c r="C22" s="177"/>
      <c r="D22" s="44"/>
      <c r="E22" s="29"/>
    </row>
    <row r="23" spans="1:10" ht="16.5" customHeight="1">
      <c r="A23" s="158" t="s">
        <v>51</v>
      </c>
      <c r="B23" s="172" t="s">
        <v>52</v>
      </c>
      <c r="C23" s="172"/>
      <c r="D23" s="20"/>
      <c r="E23" s="30"/>
    </row>
    <row r="24" spans="1:10" ht="16.5" customHeight="1">
      <c r="A24" s="158" t="s">
        <v>53</v>
      </c>
      <c r="B24" s="172" t="s">
        <v>54</v>
      </c>
      <c r="C24" s="172"/>
      <c r="D24" s="20"/>
    </row>
    <row r="25" spans="1:10" ht="16.5" customHeight="1">
      <c r="A25" s="158" t="s">
        <v>55</v>
      </c>
      <c r="B25" s="172" t="s">
        <v>56</v>
      </c>
      <c r="C25" s="172"/>
      <c r="D25" s="20"/>
      <c r="E25" s="28"/>
    </row>
    <row r="26" spans="1:10" ht="16.5" customHeight="1">
      <c r="A26" s="158" t="s">
        <v>57</v>
      </c>
      <c r="B26" s="172" t="s">
        <v>58</v>
      </c>
      <c r="C26" s="172"/>
      <c r="D26" s="20"/>
      <c r="E26" s="28"/>
    </row>
    <row r="27" spans="1:10" ht="16.5" customHeight="1">
      <c r="A27" s="158" t="s">
        <v>59</v>
      </c>
      <c r="B27" s="172" t="s">
        <v>60</v>
      </c>
      <c r="C27" s="172"/>
      <c r="D27" s="20"/>
      <c r="E27" s="28"/>
    </row>
    <row r="28" spans="1:10" ht="16.5" customHeight="1">
      <c r="A28" s="158" t="s">
        <v>61</v>
      </c>
      <c r="B28" s="172" t="s">
        <v>62</v>
      </c>
      <c r="C28" s="172"/>
      <c r="D28" s="20"/>
      <c r="E28" s="28"/>
      <c r="F28" s="27"/>
      <c r="G28" s="27"/>
      <c r="H28" s="27"/>
      <c r="I28" s="27"/>
      <c r="J28" s="27"/>
    </row>
    <row r="29" spans="1:10" ht="16.5" customHeight="1">
      <c r="A29" s="158" t="s">
        <v>63</v>
      </c>
      <c r="B29" s="172" t="s">
        <v>276</v>
      </c>
      <c r="C29" s="172"/>
      <c r="D29" s="20"/>
      <c r="E29" s="28"/>
      <c r="F29" s="27"/>
      <c r="G29" s="27"/>
      <c r="H29" s="27"/>
      <c r="I29" s="27"/>
      <c r="J29" s="27"/>
    </row>
    <row r="30" spans="1:10" s="27" customFormat="1" ht="17.25" customHeight="1">
      <c r="A30" s="192" t="s">
        <v>64</v>
      </c>
      <c r="B30" s="192" t="s">
        <v>65</v>
      </c>
      <c r="C30" s="192"/>
      <c r="D30" s="44" t="s">
        <v>66</v>
      </c>
      <c r="E30" s="28"/>
    </row>
    <row r="31" spans="1:10" s="27" customFormat="1" ht="38.25" customHeight="1">
      <c r="A31" s="192"/>
      <c r="B31" s="193" t="s">
        <v>67</v>
      </c>
      <c r="C31" s="193"/>
      <c r="D31" s="58" t="s">
        <v>68</v>
      </c>
      <c r="E31" s="28"/>
    </row>
    <row r="32" spans="1:10" s="27" customFormat="1" ht="20.25" customHeight="1">
      <c r="A32" s="192"/>
      <c r="B32" s="184" t="s">
        <v>69</v>
      </c>
      <c r="C32" s="184"/>
      <c r="D32" s="59" t="s">
        <v>68</v>
      </c>
      <c r="E32" s="28"/>
    </row>
    <row r="33" spans="1:10" s="27" customFormat="1" ht="39.75" customHeight="1">
      <c r="A33" s="192"/>
      <c r="B33" s="184" t="s">
        <v>70</v>
      </c>
      <c r="C33" s="184"/>
      <c r="D33" s="59" t="s">
        <v>68</v>
      </c>
      <c r="E33" s="28"/>
      <c r="F33" s="41"/>
    </row>
    <row r="34" spans="1:10" s="27" customFormat="1" ht="23.25" customHeight="1">
      <c r="A34" s="192"/>
      <c r="B34" s="184" t="s">
        <v>71</v>
      </c>
      <c r="C34" s="184"/>
      <c r="D34" s="59" t="s">
        <v>68</v>
      </c>
      <c r="E34" s="28"/>
    </row>
    <row r="35" spans="1:10" s="27" customFormat="1" ht="39" customHeight="1">
      <c r="A35" s="192"/>
      <c r="B35" s="270" t="s">
        <v>127</v>
      </c>
      <c r="C35" s="270"/>
      <c r="D35" s="269" t="s">
        <v>68</v>
      </c>
      <c r="E35" s="28"/>
    </row>
    <row r="36" spans="1:10" s="27" customFormat="1" ht="15" customHeight="1">
      <c r="A36" s="31"/>
      <c r="B36" s="22"/>
      <c r="C36" s="22"/>
      <c r="D36" s="32"/>
      <c r="E36" s="28"/>
    </row>
    <row r="37" spans="1:10">
      <c r="A37" s="33" t="s">
        <v>0</v>
      </c>
      <c r="B37" s="34"/>
      <c r="C37" s="27"/>
      <c r="D37" s="27"/>
      <c r="F37" s="27"/>
      <c r="G37" s="27"/>
      <c r="H37" s="27"/>
      <c r="I37" s="27"/>
      <c r="J37" s="27"/>
    </row>
    <row r="38" spans="1:10" s="14" customFormat="1" ht="17.25" customHeight="1">
      <c r="A38" s="190" t="s">
        <v>72</v>
      </c>
      <c r="B38" s="190"/>
      <c r="C38" s="190"/>
      <c r="D38" s="190"/>
      <c r="F38" s="63"/>
      <c r="G38" s="63"/>
      <c r="H38" s="63"/>
      <c r="I38" s="63"/>
      <c r="J38" s="63"/>
    </row>
    <row r="39" spans="1:10" s="14" customFormat="1" ht="17.25" customHeight="1">
      <c r="A39" s="196" t="s">
        <v>77</v>
      </c>
      <c r="B39" s="196"/>
      <c r="C39" s="196"/>
      <c r="D39" s="196"/>
      <c r="F39" s="63"/>
      <c r="G39" s="63"/>
      <c r="H39" s="63"/>
      <c r="I39" s="63"/>
      <c r="J39" s="63"/>
    </row>
    <row r="40" spans="1:10" s="14" customFormat="1" ht="17.25" customHeight="1">
      <c r="A40" s="190" t="s">
        <v>78</v>
      </c>
      <c r="B40" s="190"/>
      <c r="C40" s="190"/>
      <c r="D40" s="190"/>
      <c r="F40" s="63"/>
      <c r="G40" s="63"/>
      <c r="H40" s="63"/>
      <c r="I40" s="63"/>
      <c r="J40" s="63"/>
    </row>
    <row r="41" spans="1:10" s="14" customFormat="1" ht="17.25" customHeight="1">
      <c r="A41" s="155" t="s">
        <v>79</v>
      </c>
      <c r="B41" s="156"/>
      <c r="C41" s="156"/>
      <c r="D41" s="156"/>
      <c r="F41" s="63"/>
      <c r="G41" s="63"/>
      <c r="H41" s="63"/>
      <c r="I41" s="63"/>
      <c r="J41" s="63"/>
    </row>
    <row r="42" spans="1:10" s="14" customFormat="1" ht="17.25" customHeight="1">
      <c r="A42" s="157" t="s">
        <v>80</v>
      </c>
      <c r="B42" s="156"/>
      <c r="C42" s="156"/>
      <c r="D42" s="156"/>
      <c r="F42" s="63"/>
      <c r="G42" s="63"/>
      <c r="H42" s="63"/>
      <c r="I42" s="63"/>
      <c r="J42" s="63"/>
    </row>
    <row r="43" spans="1:10" s="14" customFormat="1" ht="17.25" customHeight="1">
      <c r="A43" s="157" t="s">
        <v>81</v>
      </c>
      <c r="B43" s="156"/>
      <c r="C43" s="156"/>
      <c r="D43" s="156"/>
      <c r="F43" s="63"/>
      <c r="G43" s="63"/>
      <c r="H43" s="63"/>
      <c r="I43" s="63"/>
      <c r="J43" s="63"/>
    </row>
    <row r="44" spans="1:10" s="14" customFormat="1" ht="17.25" customHeight="1">
      <c r="A44" s="157" t="s">
        <v>82</v>
      </c>
      <c r="B44" s="156"/>
      <c r="C44" s="156"/>
      <c r="D44" s="156"/>
      <c r="E44" s="64"/>
      <c r="F44" s="63"/>
      <c r="G44" s="63"/>
      <c r="H44" s="63"/>
      <c r="I44" s="63"/>
      <c r="J44" s="63"/>
    </row>
    <row r="45" spans="1:10" s="14" customFormat="1" ht="17.25" customHeight="1">
      <c r="A45" s="156" t="s">
        <v>73</v>
      </c>
      <c r="B45" s="156"/>
      <c r="C45" s="156"/>
      <c r="D45" s="156"/>
      <c r="E45" s="64"/>
      <c r="F45" s="63"/>
      <c r="G45" s="63"/>
      <c r="H45" s="63"/>
      <c r="I45" s="63"/>
      <c r="J45" s="63"/>
    </row>
    <row r="46" spans="1:10" s="14" customFormat="1" ht="15" customHeight="1">
      <c r="A46" s="194" t="s">
        <v>275</v>
      </c>
      <c r="B46" s="195"/>
      <c r="C46" s="195"/>
      <c r="D46" s="195"/>
    </row>
    <row r="47" spans="1:10" s="14" customFormat="1" ht="17.25" customHeight="1">
      <c r="A47" s="157" t="s">
        <v>83</v>
      </c>
      <c r="B47" s="156"/>
      <c r="C47" s="156"/>
      <c r="D47" s="156"/>
      <c r="E47" s="64"/>
      <c r="F47" s="63"/>
      <c r="G47" s="63"/>
      <c r="H47" s="63"/>
      <c r="I47" s="63"/>
      <c r="J47" s="63"/>
    </row>
    <row r="48" spans="1:10" s="14" customFormat="1" ht="17.25" customHeight="1">
      <c r="A48" s="157" t="s">
        <v>84</v>
      </c>
      <c r="B48" s="156"/>
      <c r="C48" s="156"/>
      <c r="D48" s="156"/>
      <c r="E48" s="64"/>
      <c r="F48" s="63"/>
      <c r="G48" s="63"/>
      <c r="H48" s="63"/>
      <c r="I48" s="63"/>
      <c r="J48" s="63"/>
    </row>
    <row r="49" spans="1:10" s="14" customFormat="1" ht="33" customHeight="1">
      <c r="A49" s="189" t="s">
        <v>85</v>
      </c>
      <c r="B49" s="190"/>
      <c r="C49" s="190"/>
      <c r="D49" s="190"/>
      <c r="F49" s="63"/>
      <c r="G49" s="63"/>
      <c r="H49" s="63"/>
      <c r="I49" s="63"/>
      <c r="J49" s="63"/>
    </row>
    <row r="50" spans="1:10" s="14" customFormat="1" ht="18.75" customHeight="1">
      <c r="A50" s="191" t="s">
        <v>86</v>
      </c>
      <c r="B50" s="190"/>
      <c r="C50" s="190"/>
      <c r="D50" s="190"/>
      <c r="F50" s="63"/>
      <c r="G50" s="63"/>
      <c r="H50" s="63"/>
      <c r="I50" s="63"/>
      <c r="J50" s="63"/>
    </row>
    <row r="51" spans="1:10" s="14" customFormat="1" ht="32.25" customHeight="1">
      <c r="A51" s="189" t="s">
        <v>274</v>
      </c>
      <c r="B51" s="190"/>
      <c r="C51" s="190"/>
      <c r="D51" s="190"/>
      <c r="F51" s="63"/>
      <c r="G51" s="63"/>
      <c r="H51" s="63"/>
      <c r="I51" s="63"/>
      <c r="J51" s="63"/>
    </row>
    <row r="52" spans="1:10" s="14" customFormat="1" ht="17.25" customHeight="1">
      <c r="A52" s="191" t="s">
        <v>87</v>
      </c>
      <c r="B52" s="190"/>
      <c r="C52" s="190"/>
      <c r="D52" s="190"/>
    </row>
    <row r="53" spans="1:10" s="14" customFormat="1" ht="15" customHeight="1">
      <c r="A53" s="14" t="s">
        <v>74</v>
      </c>
    </row>
    <row r="54" spans="1:10" s="14" customFormat="1" ht="15" customHeight="1">
      <c r="A54" s="14" t="s">
        <v>75</v>
      </c>
    </row>
    <row r="55" spans="1:10" s="14" customFormat="1" ht="15" customHeight="1">
      <c r="A55" s="14" t="s">
        <v>76</v>
      </c>
    </row>
    <row r="56" spans="1:10" s="14" customFormat="1" ht="15" customHeight="1">
      <c r="A56" s="195" t="s">
        <v>273</v>
      </c>
      <c r="B56" s="195"/>
      <c r="C56" s="195"/>
      <c r="D56" s="195"/>
    </row>
    <row r="57" spans="1:10" s="14" customFormat="1" ht="13.5">
      <c r="A57" s="14" t="s">
        <v>88</v>
      </c>
    </row>
    <row r="58" spans="1:10" s="14" customFormat="1" ht="13.5">
      <c r="B58" s="187"/>
      <c r="C58" s="188"/>
      <c r="D58" s="188"/>
    </row>
    <row r="59" spans="1:10">
      <c r="B59" s="188"/>
      <c r="C59" s="188"/>
      <c r="D59" s="188"/>
    </row>
    <row r="60" spans="1:10">
      <c r="B60" s="187"/>
      <c r="C60" s="188"/>
      <c r="D60" s="188"/>
    </row>
  </sheetData>
  <sheetProtection formatCells="0" formatColumns="0" formatRows="0" sort="0"/>
  <mergeCells count="45">
    <mergeCell ref="A38:D38"/>
    <mergeCell ref="B31:C31"/>
    <mergeCell ref="A51:D51"/>
    <mergeCell ref="A46:D46"/>
    <mergeCell ref="A56:D56"/>
    <mergeCell ref="B58:D58"/>
    <mergeCell ref="A40:D40"/>
    <mergeCell ref="A50:D50"/>
    <mergeCell ref="A39:D39"/>
    <mergeCell ref="B34:C34"/>
    <mergeCell ref="A30:A35"/>
    <mergeCell ref="B35:C35"/>
    <mergeCell ref="B32:C32"/>
    <mergeCell ref="B33:C33"/>
    <mergeCell ref="B28:C28"/>
    <mergeCell ref="B29:C29"/>
    <mergeCell ref="B60:D60"/>
    <mergeCell ref="B59:D59"/>
    <mergeCell ref="A49:D49"/>
    <mergeCell ref="A52:D52"/>
    <mergeCell ref="B30:C30"/>
    <mergeCell ref="B26:C26"/>
    <mergeCell ref="B17:C17"/>
    <mergeCell ref="B22:C22"/>
    <mergeCell ref="A8:A9"/>
    <mergeCell ref="B8:C9"/>
    <mergeCell ref="A10:A11"/>
    <mergeCell ref="B10:C11"/>
    <mergeCell ref="B12:C12"/>
    <mergeCell ref="B7:C7"/>
    <mergeCell ref="B23:C23"/>
    <mergeCell ref="B21:C21"/>
    <mergeCell ref="B14:C14"/>
    <mergeCell ref="B16:C16"/>
    <mergeCell ref="B25:C25"/>
    <mergeCell ref="B27:C27"/>
    <mergeCell ref="A3:C3"/>
    <mergeCell ref="B24:C24"/>
    <mergeCell ref="B19:C19"/>
    <mergeCell ref="B6:C6"/>
    <mergeCell ref="B20:C20"/>
    <mergeCell ref="B15:C15"/>
    <mergeCell ref="B13:C13"/>
    <mergeCell ref="B5:C5"/>
    <mergeCell ref="B4:C4"/>
  </mergeCells>
  <phoneticPr fontId="78" type="noConversion"/>
  <pageMargins left="0.62992125984251968" right="0.51181102362204722" top="0.98425196850393704" bottom="0.98425196850393704" header="0.51181102362204722" footer="0.51181102362204722"/>
  <pageSetup paperSize="9" scale="88" firstPageNumber="52" fitToHeight="0" orientation="portrait" r:id="rId1"/>
  <headerFooter alignWithMargins="0"/>
  <rowBreaks count="1" manualBreakCount="1">
    <brk id="36" max="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FF00"/>
    <pageSetUpPr fitToPage="1"/>
  </sheetPr>
  <dimension ref="A1:J64"/>
  <sheetViews>
    <sheetView view="pageBreakPreview" zoomScale="60" zoomScaleNormal="85" workbookViewId="0">
      <selection activeCell="H21" sqref="H21"/>
    </sheetView>
  </sheetViews>
  <sheetFormatPr defaultColWidth="8.88671875" defaultRowHeight="16.5"/>
  <cols>
    <col min="1" max="1" width="5.109375" style="18" customWidth="1"/>
    <col min="2" max="2" width="18.109375" style="18" customWidth="1"/>
    <col min="3" max="3" width="19.44140625" style="18" customWidth="1"/>
    <col min="4" max="4" width="46.44140625" style="18" customWidth="1"/>
    <col min="5" max="5" width="11.21875" style="18" customWidth="1"/>
    <col min="6" max="6" width="9.5546875" style="18" customWidth="1"/>
    <col min="7" max="7" width="22.5546875" style="18" customWidth="1"/>
    <col min="8" max="8" width="27.109375" style="18" customWidth="1"/>
    <col min="9" max="9" width="9.5546875" style="18" customWidth="1"/>
    <col min="10" max="16384" width="8.88671875" style="18"/>
  </cols>
  <sheetData>
    <row r="1" spans="1:6" ht="33.75" customHeight="1">
      <c r="A1" s="21" t="s">
        <v>6</v>
      </c>
      <c r="B1" s="22"/>
      <c r="C1" s="23"/>
      <c r="D1" s="24"/>
    </row>
    <row r="2" spans="1:6" ht="15.75" customHeight="1">
      <c r="A2" s="25"/>
      <c r="B2" s="26"/>
      <c r="C2" s="27"/>
      <c r="D2" s="27"/>
    </row>
    <row r="3" spans="1:6" ht="27.75" customHeight="1">
      <c r="A3" s="173" t="s">
        <v>7</v>
      </c>
      <c r="B3" s="174"/>
      <c r="C3" s="174"/>
      <c r="D3" s="43" t="s">
        <v>8</v>
      </c>
    </row>
    <row r="4" spans="1:6" ht="16.5" customHeight="1">
      <c r="A4" s="68" t="s">
        <v>13</v>
      </c>
      <c r="B4" s="172" t="s">
        <v>14</v>
      </c>
      <c r="C4" s="172"/>
      <c r="D4" s="20"/>
      <c r="E4" s="28"/>
      <c r="F4" s="28"/>
    </row>
    <row r="5" spans="1:6" ht="16.5" customHeight="1">
      <c r="A5" s="68" t="s">
        <v>15</v>
      </c>
      <c r="B5" s="172" t="s">
        <v>16</v>
      </c>
      <c r="C5" s="172"/>
      <c r="D5" s="20"/>
    </row>
    <row r="6" spans="1:6" s="42" customFormat="1" ht="16.5" customHeight="1">
      <c r="A6" s="68" t="s">
        <v>17</v>
      </c>
      <c r="B6" s="172" t="s">
        <v>18</v>
      </c>
      <c r="C6" s="172"/>
      <c r="D6" s="20"/>
    </row>
    <row r="7" spans="1:6" s="42" customFormat="1" ht="16.5" customHeight="1">
      <c r="A7" s="68" t="s">
        <v>19</v>
      </c>
      <c r="B7" s="176" t="s">
        <v>20</v>
      </c>
      <c r="C7" s="177"/>
      <c r="D7" s="20"/>
    </row>
    <row r="8" spans="1:6" s="62" customFormat="1" ht="16.5" customHeight="1">
      <c r="A8" s="178" t="s">
        <v>113</v>
      </c>
      <c r="B8" s="180" t="s">
        <v>21</v>
      </c>
      <c r="C8" s="181"/>
      <c r="D8" s="20" t="s">
        <v>22</v>
      </c>
      <c r="E8" s="61"/>
    </row>
    <row r="9" spans="1:6" s="62" customFormat="1" ht="16.5" customHeight="1">
      <c r="A9" s="179"/>
      <c r="B9" s="182"/>
      <c r="C9" s="183"/>
      <c r="D9" s="20" t="s">
        <v>23</v>
      </c>
      <c r="E9" s="61"/>
    </row>
    <row r="10" spans="1:6" s="62" customFormat="1" ht="16.5" customHeight="1">
      <c r="A10" s="178" t="s">
        <v>114</v>
      </c>
      <c r="B10" s="180" t="s">
        <v>24</v>
      </c>
      <c r="C10" s="181"/>
      <c r="D10" s="20" t="s">
        <v>22</v>
      </c>
      <c r="E10" s="61"/>
    </row>
    <row r="11" spans="1:6" s="62" customFormat="1" ht="16.5" customHeight="1">
      <c r="A11" s="179"/>
      <c r="B11" s="182"/>
      <c r="C11" s="183"/>
      <c r="D11" s="20" t="s">
        <v>23</v>
      </c>
      <c r="E11" s="61"/>
    </row>
    <row r="12" spans="1:6" ht="16.5" customHeight="1">
      <c r="A12" s="68" t="s">
        <v>25</v>
      </c>
      <c r="B12" s="172" t="s">
        <v>26</v>
      </c>
      <c r="C12" s="172"/>
      <c r="D12" s="20"/>
      <c r="F12" s="28"/>
    </row>
    <row r="13" spans="1:6" ht="16.5" customHeight="1">
      <c r="A13" s="68" t="s">
        <v>27</v>
      </c>
      <c r="B13" s="172" t="s">
        <v>28</v>
      </c>
      <c r="C13" s="172"/>
      <c r="D13" s="20"/>
    </row>
    <row r="14" spans="1:6" s="42" customFormat="1" ht="16.5" customHeight="1">
      <c r="A14" s="68" t="s">
        <v>29</v>
      </c>
      <c r="B14" s="172" t="s">
        <v>30</v>
      </c>
      <c r="C14" s="172"/>
      <c r="D14" s="20" t="s">
        <v>31</v>
      </c>
    </row>
    <row r="15" spans="1:6" s="42" customFormat="1" ht="16.5" customHeight="1">
      <c r="A15" s="68" t="s">
        <v>32</v>
      </c>
      <c r="B15" s="176" t="s">
        <v>33</v>
      </c>
      <c r="C15" s="177"/>
      <c r="D15" s="20" t="s">
        <v>34</v>
      </c>
    </row>
    <row r="16" spans="1:6" s="42" customFormat="1" ht="16.5" customHeight="1">
      <c r="A16" s="68" t="s">
        <v>35</v>
      </c>
      <c r="B16" s="176" t="s">
        <v>36</v>
      </c>
      <c r="C16" s="177"/>
      <c r="D16" s="20"/>
    </row>
    <row r="17" spans="1:10" s="42" customFormat="1" ht="16.5" customHeight="1">
      <c r="A17" s="68" t="s">
        <v>37</v>
      </c>
      <c r="B17" s="176" t="s">
        <v>38</v>
      </c>
      <c r="C17" s="177"/>
      <c r="D17" s="20"/>
    </row>
    <row r="18" spans="1:10" s="42" customFormat="1" ht="16.5" customHeight="1">
      <c r="A18" s="68" t="s">
        <v>39</v>
      </c>
      <c r="B18" s="69" t="s">
        <v>40</v>
      </c>
      <c r="C18" s="70"/>
      <c r="D18" s="20"/>
    </row>
    <row r="19" spans="1:10" ht="16.5" customHeight="1">
      <c r="A19" s="68" t="s">
        <v>41</v>
      </c>
      <c r="B19" s="172" t="s">
        <v>42</v>
      </c>
      <c r="C19" s="172"/>
      <c r="D19" s="20"/>
      <c r="F19" s="28"/>
    </row>
    <row r="20" spans="1:10" ht="16.5" customHeight="1">
      <c r="A20" s="68" t="s">
        <v>43</v>
      </c>
      <c r="B20" s="175" t="s">
        <v>44</v>
      </c>
      <c r="C20" s="175"/>
      <c r="D20" s="20" t="s">
        <v>45</v>
      </c>
      <c r="E20" s="19"/>
    </row>
    <row r="21" spans="1:10" ht="16.5" customHeight="1">
      <c r="A21" s="68" t="s">
        <v>46</v>
      </c>
      <c r="B21" s="176" t="s">
        <v>47</v>
      </c>
      <c r="C21" s="177"/>
      <c r="D21" s="44" t="s">
        <v>48</v>
      </c>
      <c r="E21" s="28"/>
    </row>
    <row r="22" spans="1:10" s="42" customFormat="1" ht="16.5" customHeight="1">
      <c r="A22" s="68" t="s">
        <v>49</v>
      </c>
      <c r="B22" s="176" t="s">
        <v>50</v>
      </c>
      <c r="C22" s="177"/>
      <c r="D22" s="44"/>
      <c r="E22" s="29"/>
    </row>
    <row r="23" spans="1:10" ht="16.5" customHeight="1">
      <c r="A23" s="68" t="s">
        <v>51</v>
      </c>
      <c r="B23" s="172" t="s">
        <v>52</v>
      </c>
      <c r="C23" s="172"/>
      <c r="D23" s="20"/>
      <c r="E23" s="30"/>
    </row>
    <row r="24" spans="1:10" ht="16.5" customHeight="1">
      <c r="A24" s="68" t="s">
        <v>53</v>
      </c>
      <c r="B24" s="172" t="s">
        <v>54</v>
      </c>
      <c r="C24" s="172"/>
      <c r="D24" s="20"/>
    </row>
    <row r="25" spans="1:10" ht="16.5" customHeight="1">
      <c r="A25" s="68" t="s">
        <v>55</v>
      </c>
      <c r="B25" s="172" t="s">
        <v>56</v>
      </c>
      <c r="C25" s="172"/>
      <c r="D25" s="20"/>
      <c r="E25" s="28"/>
    </row>
    <row r="26" spans="1:10" ht="16.5" customHeight="1">
      <c r="A26" s="68" t="s">
        <v>57</v>
      </c>
      <c r="B26" s="172" t="s">
        <v>58</v>
      </c>
      <c r="C26" s="172"/>
      <c r="D26" s="20"/>
      <c r="E26" s="28"/>
    </row>
    <row r="27" spans="1:10" ht="16.5" customHeight="1">
      <c r="A27" s="68" t="s">
        <v>59</v>
      </c>
      <c r="B27" s="172" t="s">
        <v>60</v>
      </c>
      <c r="C27" s="172"/>
      <c r="D27" s="20"/>
      <c r="E27" s="28"/>
    </row>
    <row r="28" spans="1:10" ht="16.5" customHeight="1">
      <c r="A28" s="68" t="s">
        <v>61</v>
      </c>
      <c r="B28" s="172" t="s">
        <v>62</v>
      </c>
      <c r="C28" s="172"/>
      <c r="D28" s="20"/>
      <c r="E28" s="28"/>
      <c r="F28" s="27"/>
      <c r="G28" s="27"/>
      <c r="H28" s="27"/>
      <c r="I28" s="27"/>
      <c r="J28" s="27"/>
    </row>
    <row r="29" spans="1:10" ht="16.5" customHeight="1">
      <c r="A29" s="68" t="s">
        <v>63</v>
      </c>
      <c r="B29" s="263" t="s">
        <v>130</v>
      </c>
      <c r="C29" s="263"/>
      <c r="D29" s="20"/>
      <c r="E29" s="28"/>
      <c r="F29" s="27"/>
      <c r="G29" s="27"/>
      <c r="H29" s="27"/>
      <c r="I29" s="27"/>
      <c r="J29" s="27"/>
    </row>
    <row r="30" spans="1:10" s="27" customFormat="1" ht="17.25" customHeight="1">
      <c r="A30" s="192" t="s">
        <v>64</v>
      </c>
      <c r="B30" s="192" t="s">
        <v>65</v>
      </c>
      <c r="C30" s="192"/>
      <c r="D30" s="44" t="s">
        <v>66</v>
      </c>
      <c r="E30" s="28"/>
    </row>
    <row r="31" spans="1:10" s="27" customFormat="1" ht="38.25" customHeight="1">
      <c r="A31" s="192"/>
      <c r="B31" s="193" t="s">
        <v>67</v>
      </c>
      <c r="C31" s="193"/>
      <c r="D31" s="58" t="s">
        <v>68</v>
      </c>
      <c r="E31" s="28"/>
    </row>
    <row r="32" spans="1:10" s="27" customFormat="1" ht="20.25" customHeight="1">
      <c r="A32" s="192"/>
      <c r="B32" s="184" t="s">
        <v>69</v>
      </c>
      <c r="C32" s="184"/>
      <c r="D32" s="59" t="s">
        <v>68</v>
      </c>
      <c r="E32" s="28"/>
    </row>
    <row r="33" spans="1:10" s="27" customFormat="1" ht="39.75" customHeight="1">
      <c r="A33" s="192"/>
      <c r="B33" s="184" t="s">
        <v>70</v>
      </c>
      <c r="C33" s="184"/>
      <c r="D33" s="59" t="s">
        <v>68</v>
      </c>
      <c r="E33" s="28"/>
      <c r="F33" s="41"/>
    </row>
    <row r="34" spans="1:10" s="27" customFormat="1" ht="23.25" customHeight="1">
      <c r="A34" s="192"/>
      <c r="B34" s="184" t="s">
        <v>71</v>
      </c>
      <c r="C34" s="184"/>
      <c r="D34" s="59" t="s">
        <v>68</v>
      </c>
      <c r="E34" s="28"/>
    </row>
    <row r="35" spans="1:10" s="27" customFormat="1" ht="34.5" customHeight="1">
      <c r="A35" s="192"/>
      <c r="B35" s="185" t="s">
        <v>270</v>
      </c>
      <c r="C35" s="186"/>
      <c r="D35" s="83" t="s">
        <v>126</v>
      </c>
      <c r="E35" s="28"/>
    </row>
    <row r="36" spans="1:10" s="27" customFormat="1" ht="23.25" customHeight="1">
      <c r="A36" s="192"/>
      <c r="B36" s="264" t="s">
        <v>269</v>
      </c>
      <c r="C36" s="264"/>
      <c r="D36" s="265" t="s">
        <v>68</v>
      </c>
      <c r="E36" s="28"/>
    </row>
    <row r="37" spans="1:10" s="27" customFormat="1" ht="15" customHeight="1">
      <c r="A37" s="31"/>
      <c r="B37" s="22"/>
      <c r="C37" s="22"/>
      <c r="D37" s="32"/>
      <c r="E37" s="28"/>
    </row>
    <row r="38" spans="1:10">
      <c r="A38" s="33" t="s">
        <v>9</v>
      </c>
      <c r="B38" s="34"/>
      <c r="C38" s="27"/>
      <c r="D38" s="27"/>
      <c r="F38" s="27"/>
      <c r="G38" s="27"/>
      <c r="H38" s="27"/>
      <c r="I38" s="27"/>
      <c r="J38" s="27"/>
    </row>
    <row r="39" spans="1:10" s="14" customFormat="1" ht="17.25" customHeight="1">
      <c r="A39" s="190" t="s">
        <v>72</v>
      </c>
      <c r="B39" s="190"/>
      <c r="C39" s="190"/>
      <c r="D39" s="190"/>
      <c r="F39" s="63"/>
      <c r="G39" s="63"/>
      <c r="H39" s="63"/>
      <c r="I39" s="63"/>
      <c r="J39" s="63"/>
    </row>
    <row r="40" spans="1:10" s="14" customFormat="1" ht="17.25" customHeight="1">
      <c r="A40" s="196" t="s">
        <v>77</v>
      </c>
      <c r="B40" s="196"/>
      <c r="C40" s="196"/>
      <c r="D40" s="196"/>
      <c r="F40" s="63"/>
      <c r="G40" s="63"/>
      <c r="H40" s="63"/>
      <c r="I40" s="63"/>
      <c r="J40" s="63"/>
    </row>
    <row r="41" spans="1:10" s="14" customFormat="1" ht="17.25" customHeight="1">
      <c r="A41" s="190" t="s">
        <v>78</v>
      </c>
      <c r="B41" s="190"/>
      <c r="C41" s="190"/>
      <c r="D41" s="190"/>
      <c r="F41" s="63"/>
      <c r="G41" s="63"/>
      <c r="H41" s="63"/>
      <c r="I41" s="63"/>
      <c r="J41" s="63"/>
    </row>
    <row r="42" spans="1:10" s="14" customFormat="1" ht="17.25" customHeight="1">
      <c r="A42" s="66" t="s">
        <v>79</v>
      </c>
      <c r="B42" s="65"/>
      <c r="C42" s="65"/>
      <c r="D42" s="65"/>
      <c r="F42" s="63"/>
      <c r="G42" s="63"/>
      <c r="H42" s="63"/>
      <c r="I42" s="63"/>
      <c r="J42" s="63"/>
    </row>
    <row r="43" spans="1:10" s="14" customFormat="1" ht="17.25" customHeight="1">
      <c r="A43" s="67" t="s">
        <v>80</v>
      </c>
      <c r="B43" s="65"/>
      <c r="C43" s="65"/>
      <c r="D43" s="65"/>
      <c r="F43" s="63"/>
      <c r="G43" s="63"/>
      <c r="H43" s="63"/>
      <c r="I43" s="63"/>
      <c r="J43" s="63"/>
    </row>
    <row r="44" spans="1:10" s="14" customFormat="1" ht="17.25" customHeight="1">
      <c r="A44" s="67" t="s">
        <v>81</v>
      </c>
      <c r="B44" s="65"/>
      <c r="C44" s="65"/>
      <c r="D44" s="65"/>
      <c r="F44" s="63"/>
      <c r="G44" s="63"/>
      <c r="H44" s="63"/>
      <c r="I44" s="63"/>
      <c r="J44" s="63"/>
    </row>
    <row r="45" spans="1:10" s="14" customFormat="1" ht="17.25" customHeight="1">
      <c r="A45" s="67" t="s">
        <v>82</v>
      </c>
      <c r="B45" s="65"/>
      <c r="C45" s="65"/>
      <c r="D45" s="65"/>
      <c r="E45" s="64"/>
      <c r="F45" s="63"/>
      <c r="G45" s="63"/>
      <c r="H45" s="63"/>
      <c r="I45" s="63"/>
      <c r="J45" s="63"/>
    </row>
    <row r="46" spans="1:10" s="14" customFormat="1" ht="17.25" customHeight="1">
      <c r="A46" s="65" t="s">
        <v>73</v>
      </c>
      <c r="B46" s="65"/>
      <c r="C46" s="65"/>
      <c r="D46" s="65"/>
      <c r="E46" s="64"/>
      <c r="F46" s="63"/>
      <c r="G46" s="63"/>
      <c r="H46" s="63"/>
      <c r="I46" s="63"/>
      <c r="J46" s="63"/>
    </row>
    <row r="47" spans="1:10" s="14" customFormat="1" ht="15" customHeight="1">
      <c r="A47" s="194" t="s">
        <v>129</v>
      </c>
      <c r="B47" s="195"/>
      <c r="C47" s="195"/>
      <c r="D47" s="195"/>
    </row>
    <row r="48" spans="1:10" s="14" customFormat="1" ht="17.25" customHeight="1">
      <c r="A48" s="67" t="s">
        <v>83</v>
      </c>
      <c r="B48" s="65"/>
      <c r="C48" s="65"/>
      <c r="D48" s="65"/>
      <c r="E48" s="64"/>
      <c r="F48" s="63"/>
      <c r="G48" s="63"/>
      <c r="H48" s="63"/>
      <c r="I48" s="63"/>
      <c r="J48" s="63"/>
    </row>
    <row r="49" spans="1:10" s="14" customFormat="1" ht="17.25" customHeight="1">
      <c r="A49" s="67" t="s">
        <v>84</v>
      </c>
      <c r="B49" s="65"/>
      <c r="C49" s="65"/>
      <c r="D49" s="65"/>
      <c r="E49" s="64"/>
      <c r="F49" s="63"/>
      <c r="G49" s="63"/>
      <c r="H49" s="63"/>
      <c r="I49" s="63"/>
      <c r="J49" s="63"/>
    </row>
    <row r="50" spans="1:10" s="14" customFormat="1" ht="33" customHeight="1">
      <c r="A50" s="189" t="s">
        <v>85</v>
      </c>
      <c r="B50" s="190"/>
      <c r="C50" s="190"/>
      <c r="D50" s="190"/>
      <c r="F50" s="63"/>
      <c r="G50" s="63"/>
      <c r="H50" s="63"/>
      <c r="I50" s="63"/>
      <c r="J50" s="63"/>
    </row>
    <row r="51" spans="1:10" s="14" customFormat="1" ht="18.75" customHeight="1">
      <c r="A51" s="191" t="s">
        <v>86</v>
      </c>
      <c r="B51" s="190"/>
      <c r="C51" s="190"/>
      <c r="D51" s="190"/>
      <c r="F51" s="63"/>
      <c r="G51" s="63"/>
      <c r="H51" s="63"/>
      <c r="I51" s="63"/>
      <c r="J51" s="63"/>
    </row>
    <row r="52" spans="1:10" s="14" customFormat="1" ht="32.25" customHeight="1">
      <c r="A52" s="266" t="s">
        <v>271</v>
      </c>
      <c r="B52" s="267"/>
      <c r="C52" s="267"/>
      <c r="D52" s="267"/>
      <c r="F52" s="63"/>
      <c r="G52" s="63"/>
      <c r="H52" s="63"/>
      <c r="I52" s="63"/>
      <c r="J52" s="63"/>
    </row>
    <row r="53" spans="1:10" s="14" customFormat="1" ht="17.25" customHeight="1">
      <c r="A53" s="191" t="s">
        <v>87</v>
      </c>
      <c r="B53" s="190"/>
      <c r="C53" s="190"/>
      <c r="D53" s="190"/>
    </row>
    <row r="54" spans="1:10" s="14" customFormat="1" ht="15" customHeight="1">
      <c r="A54" s="14" t="s">
        <v>74</v>
      </c>
    </row>
    <row r="55" spans="1:10" s="14" customFormat="1" ht="15" customHeight="1">
      <c r="A55" s="14" t="s">
        <v>75</v>
      </c>
    </row>
    <row r="56" spans="1:10" s="14" customFormat="1" ht="15" customHeight="1">
      <c r="A56" s="14" t="s">
        <v>76</v>
      </c>
    </row>
    <row r="57" spans="1:10" s="14" customFormat="1" ht="15" customHeight="1">
      <c r="A57" s="195" t="s">
        <v>128</v>
      </c>
      <c r="B57" s="195"/>
      <c r="C57" s="195"/>
      <c r="D57" s="195"/>
    </row>
    <row r="58" spans="1:10" s="14" customFormat="1" ht="15" customHeight="1">
      <c r="A58" s="14" t="s">
        <v>88</v>
      </c>
      <c r="B58" s="81"/>
      <c r="C58" s="81"/>
      <c r="D58" s="81"/>
    </row>
    <row r="59" spans="1:10" s="14" customFormat="1" ht="15" customHeight="1">
      <c r="A59" s="268" t="s">
        <v>272</v>
      </c>
      <c r="B59" s="268"/>
      <c r="C59" s="268"/>
      <c r="D59" s="268"/>
    </row>
    <row r="60" spans="1:10" s="14" customFormat="1" ht="15" customHeight="1">
      <c r="A60" s="268"/>
      <c r="B60" s="268"/>
      <c r="C60" s="268"/>
      <c r="D60" s="268"/>
    </row>
    <row r="61" spans="1:10" s="14" customFormat="1" ht="15" customHeight="1">
      <c r="A61" s="268"/>
      <c r="B61" s="268"/>
      <c r="C61" s="268"/>
      <c r="D61" s="268"/>
    </row>
    <row r="62" spans="1:10" s="14" customFormat="1" ht="13.5">
      <c r="B62" s="187"/>
      <c r="C62" s="188"/>
      <c r="D62" s="188"/>
    </row>
    <row r="63" spans="1:10">
      <c r="B63" s="188"/>
      <c r="C63" s="188"/>
      <c r="D63" s="188"/>
    </row>
    <row r="64" spans="1:10">
      <c r="B64" s="187"/>
      <c r="C64" s="188"/>
      <c r="D64" s="188"/>
    </row>
  </sheetData>
  <sheetProtection formatCells="0" formatColumns="0" formatRows="0" sort="0"/>
  <mergeCells count="47">
    <mergeCell ref="B64:D64"/>
    <mergeCell ref="B63:D63"/>
    <mergeCell ref="A50:D50"/>
    <mergeCell ref="A53:D53"/>
    <mergeCell ref="B30:C30"/>
    <mergeCell ref="B31:C31"/>
    <mergeCell ref="A52:D52"/>
    <mergeCell ref="A47:D47"/>
    <mergeCell ref="A57:D57"/>
    <mergeCell ref="B62:D62"/>
    <mergeCell ref="A41:D41"/>
    <mergeCell ref="A51:D51"/>
    <mergeCell ref="A40:D40"/>
    <mergeCell ref="B34:C34"/>
    <mergeCell ref="A30:A36"/>
    <mergeCell ref="A39:D39"/>
    <mergeCell ref="B36:C36"/>
    <mergeCell ref="B32:C32"/>
    <mergeCell ref="B33:C33"/>
    <mergeCell ref="B28:C28"/>
    <mergeCell ref="B29:C29"/>
    <mergeCell ref="B35:C35"/>
    <mergeCell ref="B25:C25"/>
    <mergeCell ref="B26:C26"/>
    <mergeCell ref="B17:C17"/>
    <mergeCell ref="B22:C22"/>
    <mergeCell ref="A8:A9"/>
    <mergeCell ref="B8:C9"/>
    <mergeCell ref="A10:A11"/>
    <mergeCell ref="B10:C11"/>
    <mergeCell ref="B12:C12"/>
    <mergeCell ref="A59:D61"/>
    <mergeCell ref="B27:C27"/>
    <mergeCell ref="A3:C3"/>
    <mergeCell ref="B24:C24"/>
    <mergeCell ref="B19:C19"/>
    <mergeCell ref="B6:C6"/>
    <mergeCell ref="B20:C20"/>
    <mergeCell ref="B15:C15"/>
    <mergeCell ref="B13:C13"/>
    <mergeCell ref="B5:C5"/>
    <mergeCell ref="B4:C4"/>
    <mergeCell ref="B7:C7"/>
    <mergeCell ref="B23:C23"/>
    <mergeCell ref="B21:C21"/>
    <mergeCell ref="B14:C14"/>
    <mergeCell ref="B16:C16"/>
  </mergeCells>
  <phoneticPr fontId="78" type="noConversion"/>
  <pageMargins left="0.62992125984251968" right="0.51181102362204722" top="0.98425196850393704" bottom="0.98425196850393704" header="0.51181102362204722" footer="0.51181102362204722"/>
  <pageSetup paperSize="9" scale="88" firstPageNumber="52" fitToHeight="0" orientation="portrait" r:id="rId1"/>
  <headerFooter alignWithMargins="0"/>
  <rowBreaks count="1" manualBreakCount="1">
    <brk id="37" max="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C7594-5EFB-4BEC-9292-A62A6CFC1D24}">
  <sheetPr>
    <pageSetUpPr fitToPage="1"/>
  </sheetPr>
  <dimension ref="A1:M36"/>
  <sheetViews>
    <sheetView showGridLines="0" view="pageBreakPreview" zoomScale="85" zoomScaleSheetLayoutView="85" workbookViewId="0">
      <selection activeCell="A2" sqref="A2"/>
    </sheetView>
  </sheetViews>
  <sheetFormatPr defaultRowHeight="16.5"/>
  <cols>
    <col min="1" max="1" width="7.88671875" style="16" customWidth="1"/>
    <col min="2" max="2" width="8.21875" style="16" customWidth="1"/>
    <col min="3" max="3" width="10.6640625" style="16" customWidth="1"/>
    <col min="4" max="4" width="7.109375" style="16" customWidth="1"/>
    <col min="5" max="5" width="7.88671875" style="16" customWidth="1"/>
    <col min="6" max="6" width="6.109375" style="16" customWidth="1"/>
    <col min="7" max="7" width="4.77734375" style="16" customWidth="1"/>
    <col min="8" max="8" width="6.109375" style="16" customWidth="1"/>
    <col min="9" max="9" width="5.88671875" style="16" customWidth="1"/>
    <col min="10" max="12" width="5.109375" style="16" customWidth="1"/>
    <col min="13" max="13" width="9.88671875" style="16" customWidth="1"/>
    <col min="14" max="16384" width="8.88671875" style="16"/>
  </cols>
  <sheetData>
    <row r="1" spans="1:13" ht="26.25">
      <c r="A1" s="274" t="s">
        <v>278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</row>
    <row r="2" spans="1:13" ht="20.25">
      <c r="A2" s="5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</row>
    <row r="3" spans="1:13" s="46" customFormat="1" ht="19.5" customHeight="1">
      <c r="A3" s="198" t="s">
        <v>11</v>
      </c>
      <c r="B3" s="200" t="s">
        <v>89</v>
      </c>
      <c r="C3" s="200" t="s">
        <v>90</v>
      </c>
      <c r="D3" s="200" t="s">
        <v>10</v>
      </c>
      <c r="E3" s="200" t="s">
        <v>91</v>
      </c>
      <c r="F3" s="200" t="s">
        <v>92</v>
      </c>
      <c r="G3" s="200" t="s">
        <v>93</v>
      </c>
      <c r="H3" s="200" t="s">
        <v>94</v>
      </c>
      <c r="I3" s="200" t="s">
        <v>95</v>
      </c>
      <c r="J3" s="200" t="s">
        <v>96</v>
      </c>
      <c r="K3" s="200" t="s">
        <v>1</v>
      </c>
      <c r="L3" s="200" t="s">
        <v>97</v>
      </c>
      <c r="M3" s="200" t="s">
        <v>98</v>
      </c>
    </row>
    <row r="4" spans="1:13" s="46" customFormat="1" ht="37.5" customHeight="1">
      <c r="A4" s="199"/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</row>
    <row r="5" spans="1:13" ht="19.5" customHeight="1">
      <c r="A5" s="170"/>
      <c r="B5" s="170"/>
      <c r="C5" s="170"/>
      <c r="D5" s="45"/>
      <c r="E5" s="170"/>
      <c r="F5" s="170"/>
      <c r="G5" s="170"/>
      <c r="H5" s="170"/>
      <c r="I5" s="170"/>
      <c r="J5" s="170"/>
      <c r="K5" s="170"/>
      <c r="L5" s="170"/>
      <c r="M5" s="170"/>
    </row>
    <row r="6" spans="1:13" ht="19.5" customHeight="1">
      <c r="A6" s="170"/>
      <c r="B6" s="170"/>
      <c r="C6" s="170"/>
      <c r="D6" s="170"/>
      <c r="E6" s="170"/>
      <c r="F6" s="170"/>
      <c r="G6" s="170"/>
      <c r="H6" s="170"/>
      <c r="I6" s="170"/>
      <c r="J6" s="170"/>
      <c r="K6" s="170"/>
      <c r="L6" s="170"/>
      <c r="M6" s="170"/>
    </row>
    <row r="7" spans="1:13" ht="19.5" customHeight="1">
      <c r="A7" s="170"/>
      <c r="B7" s="170"/>
      <c r="C7" s="170"/>
      <c r="D7" s="170"/>
      <c r="E7" s="170"/>
      <c r="F7" s="170"/>
      <c r="G7" s="170"/>
      <c r="H7" s="170"/>
      <c r="I7" s="170"/>
      <c r="J7" s="170"/>
      <c r="K7" s="170"/>
      <c r="L7" s="170"/>
      <c r="M7" s="170"/>
    </row>
    <row r="8" spans="1:13" ht="19.5" customHeight="1">
      <c r="A8" s="170"/>
      <c r="B8" s="170"/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</row>
    <row r="9" spans="1:13" ht="19.5" customHeight="1">
      <c r="A9" s="170"/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</row>
    <row r="10" spans="1:13" ht="19.5" customHeight="1">
      <c r="A10" s="170"/>
      <c r="B10" s="170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</row>
    <row r="11" spans="1:13" ht="19.5" customHeight="1">
      <c r="A11" s="170"/>
      <c r="B11" s="170"/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</row>
    <row r="12" spans="1:13">
      <c r="A12" s="7"/>
      <c r="B12" s="7"/>
      <c r="C12" s="71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s="37" customFormat="1" ht="20.25" customHeight="1">
      <c r="A13" s="55" t="s">
        <v>0</v>
      </c>
      <c r="B13" s="56"/>
      <c r="C13" s="57"/>
      <c r="D13" s="56"/>
      <c r="E13" s="56"/>
      <c r="F13" s="56"/>
      <c r="G13" s="56"/>
      <c r="H13" s="56"/>
      <c r="I13" s="56"/>
      <c r="J13" s="56"/>
      <c r="K13" s="56"/>
      <c r="L13" s="56"/>
      <c r="M13" s="56"/>
    </row>
    <row r="14" spans="1:13" s="37" customFormat="1">
      <c r="A14" s="163" t="s">
        <v>277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</row>
    <row r="15" spans="1:13" s="37" customFormat="1">
      <c r="A15" s="163" t="s">
        <v>99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</row>
    <row r="16" spans="1:13" s="37" customFormat="1">
      <c r="A16" s="163" t="s">
        <v>100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</row>
    <row r="17" spans="1:13" s="37" customFormat="1">
      <c r="A17" s="163" t="s">
        <v>101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</row>
    <row r="18" spans="1:13" s="37" customFormat="1">
      <c r="A18" s="163" t="s">
        <v>102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</row>
    <row r="19" spans="1:13" s="37" customFormat="1">
      <c r="A19" s="163" t="s">
        <v>103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</row>
    <row r="20" spans="1:13" s="37" customFormat="1">
      <c r="A20" s="163" t="s">
        <v>104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</row>
    <row r="21" spans="1:13" s="37" customFormat="1">
      <c r="A21" s="163" t="s">
        <v>105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</row>
    <row r="22" spans="1:13" s="37" customFormat="1">
      <c r="A22" s="72" t="s">
        <v>106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</row>
    <row r="25" spans="1:13">
      <c r="A25" s="60"/>
      <c r="D25" s="197"/>
      <c r="E25" s="197"/>
      <c r="F25" s="197"/>
      <c r="G25" s="197"/>
    </row>
    <row r="36" ht="15.75" customHeight="1"/>
  </sheetData>
  <sheetProtection formatCells="0" formatColumns="0" formatRows="0" insertRows="0"/>
  <mergeCells count="14">
    <mergeCell ref="M3:M4"/>
    <mergeCell ref="B3:B4"/>
    <mergeCell ref="F3:F4"/>
    <mergeCell ref="G3:G4"/>
    <mergeCell ref="H3:H4"/>
    <mergeCell ref="I3:I4"/>
    <mergeCell ref="J3:J4"/>
    <mergeCell ref="K3:K4"/>
    <mergeCell ref="D25:G25"/>
    <mergeCell ref="A3:A4"/>
    <mergeCell ref="C3:C4"/>
    <mergeCell ref="D3:D4"/>
    <mergeCell ref="E3:E4"/>
    <mergeCell ref="L3:L4"/>
  </mergeCells>
  <phoneticPr fontId="78" type="noConversion"/>
  <pageMargins left="0.62992125984251968" right="0.51181102362204722" top="0.98425196850393704" bottom="0.98425196850393704" header="0.51181102362204722" footer="0.51181102362204722"/>
  <pageSetup paperSize="9" scale="87" firstPageNumber="52" fitToHeight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tabColor rgb="FFFFFF00"/>
    <pageSetUpPr fitToPage="1"/>
  </sheetPr>
  <dimension ref="A1:M36"/>
  <sheetViews>
    <sheetView view="pageBreakPreview" zoomScale="60" zoomScaleNormal="100" workbookViewId="0">
      <selection activeCell="X14" sqref="X14"/>
    </sheetView>
  </sheetViews>
  <sheetFormatPr defaultColWidth="8.88671875" defaultRowHeight="16.5"/>
  <cols>
    <col min="1" max="1" width="7.88671875" style="16" customWidth="1"/>
    <col min="2" max="2" width="8.21875" style="16" customWidth="1"/>
    <col min="3" max="3" width="10.6640625" style="16" customWidth="1"/>
    <col min="4" max="4" width="7.109375" style="16" customWidth="1"/>
    <col min="5" max="5" width="7.88671875" style="16" customWidth="1"/>
    <col min="6" max="6" width="6.109375" style="16" customWidth="1"/>
    <col min="7" max="7" width="4.77734375" style="16" customWidth="1"/>
    <col min="8" max="8" width="6.109375" style="16" customWidth="1"/>
    <col min="9" max="9" width="5.88671875" style="16" customWidth="1"/>
    <col min="10" max="12" width="5.109375" style="16" customWidth="1"/>
    <col min="13" max="13" width="11.44140625" style="16" customWidth="1"/>
    <col min="14" max="16384" width="8.88671875" style="16"/>
  </cols>
  <sheetData>
    <row r="1" spans="1:13" ht="26.25">
      <c r="A1" s="271" t="s">
        <v>255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</row>
    <row r="2" spans="1:13" ht="20.25">
      <c r="A2" s="5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3" s="46" customFormat="1" ht="19.5" customHeight="1">
      <c r="A3" s="198" t="s">
        <v>11</v>
      </c>
      <c r="B3" s="200" t="s">
        <v>89</v>
      </c>
      <c r="C3" s="200" t="s">
        <v>90</v>
      </c>
      <c r="D3" s="200" t="s">
        <v>10</v>
      </c>
      <c r="E3" s="200" t="s">
        <v>91</v>
      </c>
      <c r="F3" s="200" t="s">
        <v>92</v>
      </c>
      <c r="G3" s="200" t="s">
        <v>93</v>
      </c>
      <c r="H3" s="200" t="s">
        <v>94</v>
      </c>
      <c r="I3" s="200" t="s">
        <v>95</v>
      </c>
      <c r="J3" s="200" t="s">
        <v>96</v>
      </c>
      <c r="K3" s="200" t="s">
        <v>1</v>
      </c>
      <c r="L3" s="200" t="s">
        <v>97</v>
      </c>
      <c r="M3" s="200" t="s">
        <v>98</v>
      </c>
    </row>
    <row r="4" spans="1:13" s="46" customFormat="1" ht="37.5" customHeight="1">
      <c r="A4" s="199"/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</row>
    <row r="5" spans="1:13" ht="19.5" customHeight="1">
      <c r="A5" s="78"/>
      <c r="B5" s="78"/>
      <c r="C5" s="78"/>
      <c r="D5" s="45"/>
      <c r="E5" s="78"/>
      <c r="F5" s="78"/>
      <c r="G5" s="78"/>
      <c r="H5" s="78"/>
      <c r="I5" s="78"/>
      <c r="J5" s="78"/>
      <c r="K5" s="78"/>
      <c r="L5" s="78"/>
      <c r="M5" s="78"/>
    </row>
    <row r="6" spans="1:13" ht="19.5" customHeight="1">
      <c r="A6" s="78"/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</row>
    <row r="7" spans="1:13" ht="19.5" customHeight="1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</row>
    <row r="8" spans="1:13" ht="19.5" customHeight="1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</row>
    <row r="9" spans="1:13" ht="19.5" customHeight="1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</row>
    <row r="10" spans="1:13" ht="19.5" customHeight="1">
      <c r="A10" s="78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</row>
    <row r="11" spans="1:13" ht="19.5" customHeight="1">
      <c r="A11" s="78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</row>
    <row r="12" spans="1:13">
      <c r="A12" s="7"/>
      <c r="B12" s="7"/>
      <c r="C12" s="71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s="37" customFormat="1" ht="20.25" customHeight="1">
      <c r="A13" s="55" t="s">
        <v>0</v>
      </c>
      <c r="B13" s="56"/>
      <c r="C13" s="57"/>
      <c r="D13" s="56"/>
      <c r="E13" s="56"/>
      <c r="F13" s="56"/>
      <c r="G13" s="56"/>
      <c r="H13" s="56"/>
      <c r="I13" s="56"/>
      <c r="J13" s="56"/>
      <c r="K13" s="56"/>
      <c r="L13" s="56"/>
      <c r="M13" s="56"/>
    </row>
    <row r="14" spans="1:13" s="37" customFormat="1">
      <c r="A14" s="272" t="s">
        <v>258</v>
      </c>
      <c r="B14" s="273"/>
      <c r="C14" s="273"/>
      <c r="D14" s="273"/>
      <c r="E14" s="273"/>
      <c r="F14" s="273"/>
      <c r="G14" s="273"/>
      <c r="H14" s="273"/>
      <c r="I14" s="273"/>
      <c r="J14" s="273"/>
      <c r="K14" s="273"/>
      <c r="L14" s="273"/>
      <c r="M14" s="273"/>
    </row>
    <row r="15" spans="1:13" s="37" customFormat="1">
      <c r="A15" s="1" t="s">
        <v>99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</row>
    <row r="16" spans="1:13" s="37" customFormat="1">
      <c r="A16" s="1" t="s">
        <v>100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</row>
    <row r="17" spans="1:13" s="37" customFormat="1">
      <c r="A17" s="1" t="s">
        <v>101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</row>
    <row r="18" spans="1:13" s="37" customFormat="1">
      <c r="A18" s="1" t="s">
        <v>102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</row>
    <row r="19" spans="1:13" s="37" customFormat="1">
      <c r="A19" s="1" t="s">
        <v>103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</row>
    <row r="20" spans="1:13" s="37" customFormat="1">
      <c r="A20" s="1" t="s">
        <v>104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</row>
    <row r="21" spans="1:13" s="37" customFormat="1">
      <c r="A21" s="1" t="s">
        <v>105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</row>
    <row r="22" spans="1:13" s="37" customFormat="1">
      <c r="A22" s="72" t="s">
        <v>106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</row>
    <row r="25" spans="1:13">
      <c r="A25" s="60"/>
      <c r="D25" s="197"/>
      <c r="E25" s="197"/>
      <c r="F25" s="197"/>
      <c r="G25" s="197"/>
    </row>
    <row r="36" ht="15.75" customHeight="1"/>
  </sheetData>
  <sheetProtection formatCells="0" formatColumns="0" formatRows="0" insertRows="0"/>
  <mergeCells count="14">
    <mergeCell ref="L3:L4"/>
    <mergeCell ref="M3:M4"/>
    <mergeCell ref="B3:B4"/>
    <mergeCell ref="F3:F4"/>
    <mergeCell ref="G3:G4"/>
    <mergeCell ref="H3:H4"/>
    <mergeCell ref="I3:I4"/>
    <mergeCell ref="J3:J4"/>
    <mergeCell ref="K3:K4"/>
    <mergeCell ref="D25:G25"/>
    <mergeCell ref="A3:A4"/>
    <mergeCell ref="C3:C4"/>
    <mergeCell ref="D3:D4"/>
    <mergeCell ref="E3:E4"/>
  </mergeCells>
  <phoneticPr fontId="78" type="noConversion"/>
  <pageMargins left="0.62992125984251968" right="0.51181102362204722" top="0.98425196850393704" bottom="0.98425196850393704" header="0.51181102362204722" footer="0.51181102362204722"/>
  <pageSetup paperSize="9" scale="86" firstPageNumber="52" fitToHeight="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0C67A-DB8C-46B6-97BD-64EA588D56F1}">
  <sheetPr>
    <pageSetUpPr fitToPage="1"/>
  </sheetPr>
  <dimension ref="A1:M21"/>
  <sheetViews>
    <sheetView showGridLines="0" view="pageBreakPreview" zoomScale="85" zoomScaleSheetLayoutView="85" workbookViewId="0">
      <selection activeCell="Y29" sqref="Y29"/>
    </sheetView>
  </sheetViews>
  <sheetFormatPr defaultRowHeight="16.5"/>
  <cols>
    <col min="1" max="1" width="7.88671875" style="82" customWidth="1"/>
    <col min="2" max="2" width="8.5546875" style="82" customWidth="1"/>
    <col min="3" max="3" width="8.88671875" style="82" customWidth="1"/>
    <col min="4" max="4" width="5.77734375" style="82" customWidth="1"/>
    <col min="5" max="13" width="6" style="82" customWidth="1"/>
    <col min="14" max="16384" width="8.88671875" style="82"/>
  </cols>
  <sheetData>
    <row r="1" spans="1:13" ht="26.25">
      <c r="A1" s="274" t="s">
        <v>280</v>
      </c>
    </row>
    <row r="2" spans="1:13" ht="20.25">
      <c r="A2" s="5"/>
    </row>
    <row r="3" spans="1:13" s="9" customFormat="1" ht="19.5" customHeight="1">
      <c r="A3" s="198" t="s">
        <v>11</v>
      </c>
      <c r="B3" s="200" t="s">
        <v>89</v>
      </c>
      <c r="C3" s="200" t="s">
        <v>90</v>
      </c>
      <c r="D3" s="200" t="s">
        <v>107</v>
      </c>
      <c r="E3" s="200"/>
      <c r="F3" s="200"/>
      <c r="G3" s="200"/>
      <c r="H3" s="200"/>
      <c r="I3" s="200" t="s">
        <v>108</v>
      </c>
      <c r="J3" s="200"/>
      <c r="K3" s="200"/>
      <c r="L3" s="200"/>
      <c r="M3" s="200"/>
    </row>
    <row r="4" spans="1:13" s="9" customFormat="1" ht="37.5" customHeight="1">
      <c r="A4" s="199"/>
      <c r="B4" s="200"/>
      <c r="C4" s="200"/>
      <c r="D4" s="162" t="s">
        <v>109</v>
      </c>
      <c r="E4" s="162" t="s">
        <v>110</v>
      </c>
      <c r="F4" s="162" t="s">
        <v>111</v>
      </c>
      <c r="G4" s="162" t="s">
        <v>10</v>
      </c>
      <c r="H4" s="162" t="s">
        <v>112</v>
      </c>
      <c r="I4" s="162" t="s">
        <v>109</v>
      </c>
      <c r="J4" s="162" t="s">
        <v>110</v>
      </c>
      <c r="K4" s="162" t="s">
        <v>111</v>
      </c>
      <c r="L4" s="162" t="s">
        <v>10</v>
      </c>
      <c r="M4" s="162" t="s">
        <v>112</v>
      </c>
    </row>
    <row r="5" spans="1:13" ht="19.5" customHeight="1">
      <c r="A5" s="170"/>
      <c r="B5" s="170"/>
      <c r="C5" s="170"/>
      <c r="D5" s="170"/>
      <c r="E5" s="170"/>
      <c r="F5" s="48"/>
      <c r="G5" s="170"/>
      <c r="H5" s="170"/>
      <c r="I5" s="170"/>
      <c r="J5" s="170"/>
      <c r="K5" s="48"/>
      <c r="L5" s="170"/>
      <c r="M5" s="170"/>
    </row>
    <row r="6" spans="1:13" ht="19.5" customHeight="1">
      <c r="A6" s="170"/>
      <c r="B6" s="170"/>
      <c r="C6" s="170"/>
      <c r="D6" s="170"/>
      <c r="E6" s="170"/>
      <c r="F6" s="48"/>
      <c r="G6" s="170"/>
      <c r="H6" s="170"/>
      <c r="I6" s="170"/>
      <c r="J6" s="170"/>
      <c r="K6" s="48"/>
      <c r="L6" s="170"/>
      <c r="M6" s="170"/>
    </row>
    <row r="7" spans="1:13" ht="19.5" customHeight="1">
      <c r="A7" s="170"/>
      <c r="B7" s="170"/>
      <c r="C7" s="170"/>
      <c r="D7" s="170"/>
      <c r="E7" s="170"/>
      <c r="F7" s="48"/>
      <c r="G7" s="170"/>
      <c r="H7" s="170"/>
      <c r="I7" s="170"/>
      <c r="J7" s="170"/>
      <c r="K7" s="48"/>
      <c r="L7" s="170"/>
      <c r="M7" s="170"/>
    </row>
    <row r="8" spans="1:13" ht="19.5" customHeight="1">
      <c r="A8" s="170"/>
      <c r="B8" s="170"/>
      <c r="C8" s="170"/>
      <c r="D8" s="170"/>
      <c r="E8" s="170"/>
      <c r="F8" s="48"/>
      <c r="G8" s="170"/>
      <c r="H8" s="170"/>
      <c r="I8" s="170"/>
      <c r="J8" s="170"/>
      <c r="K8" s="48"/>
      <c r="L8" s="170"/>
      <c r="M8" s="170"/>
    </row>
    <row r="9" spans="1:13" ht="19.5" customHeight="1">
      <c r="A9" s="170"/>
      <c r="B9" s="170"/>
      <c r="C9" s="170"/>
      <c r="D9" s="170"/>
      <c r="E9" s="170"/>
      <c r="F9" s="48"/>
      <c r="G9" s="170"/>
      <c r="H9" s="170"/>
      <c r="I9" s="170"/>
      <c r="J9" s="170"/>
      <c r="K9" s="48"/>
      <c r="L9" s="170"/>
      <c r="M9" s="170"/>
    </row>
    <row r="10" spans="1:13" ht="19.5" customHeight="1">
      <c r="A10" s="170"/>
      <c r="B10" s="170"/>
      <c r="C10" s="170"/>
      <c r="D10" s="170"/>
      <c r="E10" s="170"/>
      <c r="F10" s="48"/>
      <c r="G10" s="170"/>
      <c r="H10" s="170"/>
      <c r="I10" s="170"/>
      <c r="J10" s="170"/>
      <c r="K10" s="48"/>
      <c r="L10" s="170"/>
      <c r="M10" s="170"/>
    </row>
    <row r="11" spans="1:13" ht="19.5" customHeight="1">
      <c r="A11" s="170"/>
      <c r="B11" s="170"/>
      <c r="C11" s="170"/>
      <c r="D11" s="170"/>
      <c r="E11" s="170"/>
      <c r="F11" s="48"/>
      <c r="G11" s="170"/>
      <c r="H11" s="170"/>
      <c r="I11" s="170"/>
      <c r="J11" s="170"/>
      <c r="K11" s="48"/>
      <c r="L11" s="170"/>
      <c r="M11" s="170"/>
    </row>
    <row r="12" spans="1:13" ht="19.5" customHeight="1">
      <c r="A12" s="6"/>
      <c r="B12" s="6"/>
      <c r="C12" s="7"/>
      <c r="D12" s="15"/>
    </row>
    <row r="13" spans="1:13" s="76" customFormat="1" ht="20.25" customHeight="1">
      <c r="A13" s="55" t="s">
        <v>0</v>
      </c>
      <c r="B13" s="56"/>
      <c r="C13" s="57"/>
      <c r="D13" s="56"/>
    </row>
    <row r="14" spans="1:13" s="76" customFormat="1">
      <c r="A14" s="163" t="s">
        <v>277</v>
      </c>
    </row>
    <row r="15" spans="1:13" s="76" customFormat="1">
      <c r="A15" s="163" t="s">
        <v>99</v>
      </c>
    </row>
    <row r="16" spans="1:13" s="76" customFormat="1">
      <c r="A16" s="163" t="s">
        <v>124</v>
      </c>
    </row>
    <row r="17" spans="1:13" s="37" customFormat="1">
      <c r="A17" s="163" t="s">
        <v>125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</row>
    <row r="18" spans="1:13">
      <c r="A18" s="276" t="s">
        <v>279</v>
      </c>
    </row>
    <row r="19" spans="1:13">
      <c r="A19" s="47"/>
    </row>
    <row r="20" spans="1:13">
      <c r="A20" s="47"/>
    </row>
    <row r="21" spans="1:13">
      <c r="A21" s="47"/>
    </row>
  </sheetData>
  <sheetProtection formatCells="0" formatColumns="0" formatRows="0" insertRows="0"/>
  <mergeCells count="5">
    <mergeCell ref="D3:H3"/>
    <mergeCell ref="I3:M3"/>
    <mergeCell ref="A3:A4"/>
    <mergeCell ref="B3:B4"/>
    <mergeCell ref="C3:C4"/>
  </mergeCells>
  <phoneticPr fontId="78" type="noConversion"/>
  <pageMargins left="0.62992125984251968" right="0.51181102362204722" top="0.98425196850393704" bottom="0.98425196850393704" header="0.51181102362204722" footer="0.51181102362204722"/>
  <pageSetup paperSize="9" scale="92" firstPageNumber="52" fitToHeight="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  <pageSetUpPr fitToPage="1"/>
  </sheetPr>
  <dimension ref="A1:M21"/>
  <sheetViews>
    <sheetView view="pageBreakPreview" zoomScale="60" zoomScaleNormal="100" workbookViewId="0">
      <selection activeCell="X38" sqref="X38"/>
    </sheetView>
  </sheetViews>
  <sheetFormatPr defaultColWidth="8.88671875" defaultRowHeight="16.5"/>
  <cols>
    <col min="1" max="1" width="9.44140625" style="38" customWidth="1"/>
    <col min="2" max="2" width="10.109375" style="38" customWidth="1"/>
    <col min="3" max="3" width="10.33203125" style="38" customWidth="1"/>
    <col min="4" max="4" width="5.77734375" style="38" customWidth="1"/>
    <col min="5" max="13" width="6" style="38" customWidth="1"/>
    <col min="14" max="16384" width="8.88671875" style="38"/>
  </cols>
  <sheetData>
    <row r="1" spans="1:13" s="77" customFormat="1" ht="26.25">
      <c r="A1" s="271" t="s">
        <v>257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</row>
    <row r="2" spans="1:13" s="77" customFormat="1" ht="20.25">
      <c r="A2" s="5"/>
    </row>
    <row r="3" spans="1:13" s="9" customFormat="1" ht="19.5" customHeight="1">
      <c r="A3" s="198" t="s">
        <v>11</v>
      </c>
      <c r="B3" s="200" t="s">
        <v>89</v>
      </c>
      <c r="C3" s="200" t="s">
        <v>90</v>
      </c>
      <c r="D3" s="200" t="s">
        <v>107</v>
      </c>
      <c r="E3" s="200"/>
      <c r="F3" s="200"/>
      <c r="G3" s="200"/>
      <c r="H3" s="200"/>
      <c r="I3" s="200" t="s">
        <v>108</v>
      </c>
      <c r="J3" s="200"/>
      <c r="K3" s="200"/>
      <c r="L3" s="200"/>
      <c r="M3" s="200"/>
    </row>
    <row r="4" spans="1:13" s="9" customFormat="1" ht="37.5" customHeight="1">
      <c r="A4" s="199"/>
      <c r="B4" s="200"/>
      <c r="C4" s="200"/>
      <c r="D4" s="75" t="s">
        <v>109</v>
      </c>
      <c r="E4" s="75" t="s">
        <v>110</v>
      </c>
      <c r="F4" s="75" t="s">
        <v>111</v>
      </c>
      <c r="G4" s="75" t="s">
        <v>10</v>
      </c>
      <c r="H4" s="75" t="s">
        <v>112</v>
      </c>
      <c r="I4" s="75" t="s">
        <v>109</v>
      </c>
      <c r="J4" s="75" t="s">
        <v>110</v>
      </c>
      <c r="K4" s="75" t="s">
        <v>111</v>
      </c>
      <c r="L4" s="75" t="s">
        <v>10</v>
      </c>
      <c r="M4" s="75" t="s">
        <v>112</v>
      </c>
    </row>
    <row r="5" spans="1:13" s="77" customFormat="1" ht="19.5" customHeight="1">
      <c r="A5" s="78"/>
      <c r="B5" s="78"/>
      <c r="C5" s="78"/>
      <c r="D5" s="78"/>
      <c r="E5" s="78"/>
      <c r="F5" s="48"/>
      <c r="G5" s="78"/>
      <c r="H5" s="78"/>
      <c r="I5" s="78"/>
      <c r="J5" s="78"/>
      <c r="K5" s="48"/>
      <c r="L5" s="78"/>
      <c r="M5" s="78"/>
    </row>
    <row r="6" spans="1:13" s="77" customFormat="1" ht="19.5" customHeight="1">
      <c r="A6" s="78"/>
      <c r="B6" s="78"/>
      <c r="C6" s="78"/>
      <c r="D6" s="78"/>
      <c r="E6" s="78"/>
      <c r="F6" s="48"/>
      <c r="G6" s="78"/>
      <c r="H6" s="78"/>
      <c r="I6" s="78"/>
      <c r="J6" s="78"/>
      <c r="K6" s="48"/>
      <c r="L6" s="78"/>
      <c r="M6" s="78"/>
    </row>
    <row r="7" spans="1:13" s="77" customFormat="1" ht="19.5" customHeight="1">
      <c r="A7" s="78"/>
      <c r="B7" s="78"/>
      <c r="C7" s="78"/>
      <c r="D7" s="78"/>
      <c r="E7" s="78"/>
      <c r="F7" s="48"/>
      <c r="G7" s="78"/>
      <c r="H7" s="78"/>
      <c r="I7" s="78"/>
      <c r="J7" s="78"/>
      <c r="K7" s="48"/>
      <c r="L7" s="78"/>
      <c r="M7" s="78"/>
    </row>
    <row r="8" spans="1:13" s="77" customFormat="1" ht="19.5" customHeight="1">
      <c r="A8" s="78"/>
      <c r="B8" s="78"/>
      <c r="C8" s="78"/>
      <c r="D8" s="78"/>
      <c r="E8" s="78"/>
      <c r="F8" s="48"/>
      <c r="G8" s="78"/>
      <c r="H8" s="78"/>
      <c r="I8" s="78"/>
      <c r="J8" s="78"/>
      <c r="K8" s="48"/>
      <c r="L8" s="78"/>
      <c r="M8" s="78"/>
    </row>
    <row r="9" spans="1:13" s="77" customFormat="1" ht="19.5" customHeight="1">
      <c r="A9" s="78"/>
      <c r="B9" s="78"/>
      <c r="C9" s="78"/>
      <c r="D9" s="78"/>
      <c r="E9" s="78"/>
      <c r="F9" s="48"/>
      <c r="G9" s="78"/>
      <c r="H9" s="78"/>
      <c r="I9" s="78"/>
      <c r="J9" s="78"/>
      <c r="K9" s="48"/>
      <c r="L9" s="78"/>
      <c r="M9" s="78"/>
    </row>
    <row r="10" spans="1:13" s="77" customFormat="1" ht="19.5" customHeight="1">
      <c r="A10" s="78"/>
      <c r="B10" s="78"/>
      <c r="C10" s="78"/>
      <c r="D10" s="78"/>
      <c r="E10" s="78"/>
      <c r="F10" s="48"/>
      <c r="G10" s="78"/>
      <c r="H10" s="78"/>
      <c r="I10" s="78"/>
      <c r="J10" s="78"/>
      <c r="K10" s="48"/>
      <c r="L10" s="78"/>
      <c r="M10" s="78"/>
    </row>
    <row r="11" spans="1:13" s="77" customFormat="1" ht="19.5" customHeight="1">
      <c r="A11" s="78"/>
      <c r="B11" s="78"/>
      <c r="C11" s="78"/>
      <c r="D11" s="78"/>
      <c r="E11" s="78"/>
      <c r="F11" s="48"/>
      <c r="G11" s="78"/>
      <c r="H11" s="78"/>
      <c r="I11" s="78"/>
      <c r="J11" s="78"/>
      <c r="K11" s="48"/>
      <c r="L11" s="78"/>
      <c r="M11" s="78"/>
    </row>
    <row r="12" spans="1:13" s="77" customFormat="1" ht="19.5" customHeight="1">
      <c r="A12" s="6"/>
      <c r="B12" s="6"/>
      <c r="C12" s="7"/>
      <c r="D12" s="15"/>
    </row>
    <row r="13" spans="1:13" s="76" customFormat="1" ht="20.25" customHeight="1">
      <c r="A13" s="55" t="s">
        <v>0</v>
      </c>
      <c r="B13" s="56"/>
      <c r="C13" s="57"/>
      <c r="D13" s="56"/>
    </row>
    <row r="14" spans="1:13" s="76" customFormat="1">
      <c r="A14" s="272" t="s">
        <v>259</v>
      </c>
      <c r="B14" s="273"/>
      <c r="C14" s="273"/>
      <c r="D14" s="273"/>
      <c r="E14" s="273"/>
      <c r="F14" s="273"/>
      <c r="G14" s="273"/>
      <c r="H14" s="273"/>
      <c r="I14" s="273"/>
      <c r="J14" s="273"/>
      <c r="K14" s="273"/>
      <c r="L14" s="273"/>
      <c r="M14" s="273"/>
    </row>
    <row r="15" spans="1:13" s="76" customFormat="1">
      <c r="A15" s="1" t="s">
        <v>99</v>
      </c>
    </row>
    <row r="16" spans="1:13" s="76" customFormat="1">
      <c r="A16" s="1" t="s">
        <v>124</v>
      </c>
    </row>
    <row r="17" spans="1:13" s="37" customFormat="1">
      <c r="A17" s="1" t="s">
        <v>125</v>
      </c>
      <c r="B17" s="76"/>
      <c r="C17" s="76"/>
      <c r="D17" s="76"/>
      <c r="E17" s="76"/>
      <c r="F17" s="76"/>
      <c r="H17" s="76"/>
      <c r="I17" s="76"/>
      <c r="J17" s="76"/>
      <c r="K17" s="76"/>
      <c r="L17" s="76"/>
      <c r="M17" s="76"/>
    </row>
    <row r="18" spans="1:13" s="77" customFormat="1">
      <c r="A18" s="275" t="s">
        <v>256</v>
      </c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</row>
    <row r="19" spans="1:13">
      <c r="A19" s="47"/>
    </row>
    <row r="20" spans="1:13">
      <c r="A20" s="47"/>
    </row>
    <row r="21" spans="1:13">
      <c r="A21" s="47"/>
    </row>
  </sheetData>
  <sheetProtection formatCells="0" formatColumns="0" formatRows="0" insertRows="0"/>
  <mergeCells count="5">
    <mergeCell ref="D3:H3"/>
    <mergeCell ref="I3:M3"/>
    <mergeCell ref="A3:A4"/>
    <mergeCell ref="B3:B4"/>
    <mergeCell ref="C3:C4"/>
  </mergeCells>
  <phoneticPr fontId="78" type="noConversion"/>
  <pageMargins left="0.62992125984251968" right="0.51181102362204722" top="0.98425196850393704" bottom="0.98425196850393704" header="0.51181102362204722" footer="0.51181102362204722"/>
  <pageSetup paperSize="9" scale="88" firstPageNumber="52" fitToHeight="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C5506-04F6-4E7F-9D05-B03ECA025F6D}">
  <sheetPr>
    <pageSetUpPr fitToPage="1"/>
  </sheetPr>
  <dimension ref="A1:I35"/>
  <sheetViews>
    <sheetView showGridLines="0" zoomScaleSheetLayoutView="100" workbookViewId="0">
      <selection activeCell="G12" sqref="G12"/>
    </sheetView>
  </sheetViews>
  <sheetFormatPr defaultRowHeight="16.5"/>
  <cols>
    <col min="1" max="1" width="31.44140625" style="16" customWidth="1"/>
    <col min="2" max="2" width="15.44140625" style="16" customWidth="1"/>
    <col min="3" max="3" width="16" style="16" customWidth="1"/>
    <col min="4" max="4" width="14.6640625" style="16" customWidth="1"/>
    <col min="5" max="5" width="12.5546875" style="16" customWidth="1"/>
    <col min="6" max="16384" width="8.88671875" style="16"/>
  </cols>
  <sheetData>
    <row r="1" spans="1:5" ht="26.25">
      <c r="A1" s="274" t="s">
        <v>163</v>
      </c>
      <c r="B1" s="82"/>
      <c r="C1" s="82"/>
      <c r="D1" s="97"/>
      <c r="E1" s="82"/>
    </row>
    <row r="2" spans="1:5" ht="18.75" customHeight="1">
      <c r="A2" s="285"/>
      <c r="B2" s="285"/>
      <c r="C2" s="285"/>
      <c r="D2" s="284"/>
      <c r="E2" s="82"/>
    </row>
    <row r="3" spans="1:5" ht="24.75" customHeight="1">
      <c r="A3" s="120" t="s">
        <v>164</v>
      </c>
      <c r="B3" s="120" t="s">
        <v>165</v>
      </c>
      <c r="C3" s="120" t="s">
        <v>166</v>
      </c>
      <c r="D3" s="82"/>
      <c r="E3" s="82"/>
    </row>
    <row r="4" spans="1:5" ht="24.75" customHeight="1">
      <c r="A4" s="121" t="s">
        <v>167</v>
      </c>
      <c r="B4" s="121"/>
      <c r="C4" s="122" t="s">
        <v>68</v>
      </c>
      <c r="D4" s="82"/>
      <c r="E4" s="82"/>
    </row>
    <row r="5" spans="1:5" ht="11.25" customHeight="1">
      <c r="A5" s="283"/>
      <c r="B5" s="283"/>
      <c r="C5" s="282"/>
      <c r="D5" s="82"/>
      <c r="E5" s="82"/>
    </row>
    <row r="6" spans="1:5" s="17" customFormat="1" ht="11.25" customHeight="1">
      <c r="A6" s="125"/>
      <c r="B6" s="125"/>
      <c r="C6" s="125"/>
      <c r="D6" s="126" t="s">
        <v>168</v>
      </c>
      <c r="E6" s="125"/>
    </row>
    <row r="7" spans="1:5" s="17" customFormat="1" ht="33.75" customHeight="1">
      <c r="A7" s="120" t="s">
        <v>164</v>
      </c>
      <c r="B7" s="120" t="s">
        <v>169</v>
      </c>
      <c r="C7" s="120" t="s">
        <v>170</v>
      </c>
      <c r="D7" s="120" t="s">
        <v>171</v>
      </c>
      <c r="E7" s="125"/>
    </row>
    <row r="8" spans="1:5" s="17" customFormat="1" ht="24.75" customHeight="1">
      <c r="A8" s="121" t="s">
        <v>172</v>
      </c>
      <c r="B8" s="127"/>
      <c r="C8" s="128" t="s">
        <v>254</v>
      </c>
      <c r="D8" s="122" t="s">
        <v>173</v>
      </c>
      <c r="E8" s="125"/>
    </row>
    <row r="9" spans="1:5" ht="11.25" customHeight="1">
      <c r="A9" s="283"/>
      <c r="B9" s="283"/>
      <c r="C9" s="282"/>
      <c r="D9" s="82"/>
      <c r="E9" s="82"/>
    </row>
    <row r="10" spans="1:5" s="17" customFormat="1" ht="11.25" customHeight="1">
      <c r="A10" s="125"/>
      <c r="B10" s="125"/>
      <c r="C10" s="125"/>
      <c r="D10" s="126" t="s">
        <v>174</v>
      </c>
      <c r="E10" s="125"/>
    </row>
    <row r="11" spans="1:5" s="17" customFormat="1" ht="33.75" customHeight="1">
      <c r="A11" s="120" t="s">
        <v>164</v>
      </c>
      <c r="B11" s="120" t="s">
        <v>175</v>
      </c>
      <c r="C11" s="120" t="s">
        <v>176</v>
      </c>
      <c r="D11" s="120" t="s">
        <v>177</v>
      </c>
      <c r="E11" s="125"/>
    </row>
    <row r="12" spans="1:5" s="17" customFormat="1" ht="24.75" customHeight="1">
      <c r="A12" s="121" t="s">
        <v>178</v>
      </c>
      <c r="B12" s="127"/>
      <c r="C12" s="128" t="s">
        <v>179</v>
      </c>
      <c r="D12" s="122" t="s">
        <v>173</v>
      </c>
      <c r="E12" s="125"/>
    </row>
    <row r="13" spans="1:5" ht="11.25" customHeight="1">
      <c r="A13" s="283"/>
      <c r="B13" s="283"/>
      <c r="C13" s="282"/>
      <c r="D13" s="82"/>
      <c r="E13" s="82"/>
    </row>
    <row r="14" spans="1:5" s="17" customFormat="1" ht="11.25" customHeight="1">
      <c r="A14" s="125"/>
      <c r="B14" s="125"/>
      <c r="C14" s="125"/>
      <c r="D14" s="125"/>
      <c r="E14" s="126" t="s">
        <v>168</v>
      </c>
    </row>
    <row r="15" spans="1:5" s="17" customFormat="1" ht="33.75" customHeight="1">
      <c r="A15" s="120" t="s">
        <v>164</v>
      </c>
      <c r="B15" s="120" t="s">
        <v>169</v>
      </c>
      <c r="C15" s="129" t="s">
        <v>180</v>
      </c>
      <c r="D15" s="120" t="s">
        <v>181</v>
      </c>
      <c r="E15" s="120" t="s">
        <v>182</v>
      </c>
    </row>
    <row r="16" spans="1:5" s="17" customFormat="1" ht="37.5" customHeight="1">
      <c r="A16" s="130" t="s">
        <v>183</v>
      </c>
      <c r="B16" s="130"/>
      <c r="C16" s="127"/>
      <c r="D16" s="131" t="s">
        <v>184</v>
      </c>
      <c r="E16" s="122" t="s">
        <v>173</v>
      </c>
    </row>
    <row r="17" spans="1:9" ht="11.25" customHeight="1">
      <c r="A17" s="283"/>
      <c r="B17" s="283"/>
      <c r="C17" s="282"/>
      <c r="D17" s="82"/>
      <c r="E17" s="82"/>
    </row>
    <row r="18" spans="1:9" s="17" customFormat="1" ht="11.25" customHeight="1">
      <c r="A18" s="125"/>
      <c r="B18" s="125"/>
      <c r="C18" s="125"/>
      <c r="D18" s="126" t="s">
        <v>168</v>
      </c>
      <c r="E18" s="125"/>
    </row>
    <row r="19" spans="1:9" s="17" customFormat="1" ht="33.75" customHeight="1">
      <c r="A19" s="120" t="s">
        <v>164</v>
      </c>
      <c r="B19" s="129" t="s">
        <v>180</v>
      </c>
      <c r="C19" s="120" t="s">
        <v>185</v>
      </c>
      <c r="D19" s="120" t="s">
        <v>177</v>
      </c>
      <c r="E19" s="125"/>
    </row>
    <row r="20" spans="1:9" s="17" customFormat="1" ht="39.75" customHeight="1">
      <c r="A20" s="130" t="s">
        <v>186</v>
      </c>
      <c r="B20" s="127"/>
      <c r="C20" s="132" t="s">
        <v>187</v>
      </c>
      <c r="D20" s="122" t="s">
        <v>173</v>
      </c>
      <c r="E20" s="125"/>
    </row>
    <row r="21" spans="1:9" s="17" customFormat="1" ht="24" customHeight="1">
      <c r="A21" s="125"/>
      <c r="B21" s="125"/>
      <c r="C21" s="125"/>
      <c r="D21" s="125"/>
      <c r="E21" s="125"/>
    </row>
    <row r="22" spans="1:9" s="17" customFormat="1" ht="33.75" customHeight="1">
      <c r="A22" s="120" t="s">
        <v>164</v>
      </c>
      <c r="B22" s="120" t="s">
        <v>188</v>
      </c>
      <c r="C22" s="120" t="s">
        <v>189</v>
      </c>
      <c r="D22" s="120" t="s">
        <v>190</v>
      </c>
      <c r="E22" s="125"/>
    </row>
    <row r="23" spans="1:9" s="17" customFormat="1" ht="30" customHeight="1">
      <c r="A23" s="130" t="s">
        <v>191</v>
      </c>
      <c r="B23" s="128" t="s">
        <v>192</v>
      </c>
      <c r="C23" s="128" t="s">
        <v>193</v>
      </c>
      <c r="D23" s="128"/>
      <c r="E23" s="125"/>
    </row>
    <row r="24" spans="1:9" ht="11.25" customHeight="1">
      <c r="A24" s="283"/>
      <c r="B24" s="283"/>
      <c r="C24" s="282"/>
      <c r="D24" s="82"/>
      <c r="E24" s="82"/>
    </row>
    <row r="25" spans="1:9" s="17" customFormat="1" ht="11.25" customHeight="1">
      <c r="A25" s="125"/>
      <c r="B25" s="125"/>
      <c r="C25" s="125"/>
      <c r="D25" s="125"/>
      <c r="E25" s="126" t="s">
        <v>168</v>
      </c>
    </row>
    <row r="26" spans="1:9" s="17" customFormat="1" ht="33.75" customHeight="1">
      <c r="A26" s="120" t="s">
        <v>164</v>
      </c>
      <c r="B26" s="129" t="s">
        <v>194</v>
      </c>
      <c r="C26" s="120" t="s">
        <v>195</v>
      </c>
      <c r="D26" s="120" t="s">
        <v>171</v>
      </c>
      <c r="E26" s="120" t="s">
        <v>196</v>
      </c>
    </row>
    <row r="27" spans="1:9" s="17" customFormat="1" ht="30" customHeight="1">
      <c r="A27" s="130" t="s">
        <v>197</v>
      </c>
      <c r="B27" s="127"/>
      <c r="C27" s="128" t="s">
        <v>198</v>
      </c>
      <c r="D27" s="122" t="s">
        <v>173</v>
      </c>
      <c r="E27" s="133" t="s">
        <v>199</v>
      </c>
    </row>
    <row r="28" spans="1:9" s="17" customFormat="1" ht="24" customHeight="1">
      <c r="A28" s="125"/>
      <c r="B28" s="125"/>
      <c r="C28" s="125"/>
      <c r="D28" s="125"/>
      <c r="E28" s="125"/>
    </row>
    <row r="29" spans="1:9" ht="21.75" customHeight="1">
      <c r="A29" s="281" t="s">
        <v>0</v>
      </c>
      <c r="B29" s="94"/>
      <c r="C29" s="94"/>
      <c r="D29" s="94"/>
      <c r="E29" s="82"/>
    </row>
    <row r="30" spans="1:9" ht="14.25" customHeight="1">
      <c r="A30" s="278" t="s">
        <v>200</v>
      </c>
      <c r="B30" s="278"/>
      <c r="C30" s="278"/>
      <c r="D30" s="278"/>
      <c r="E30" s="278"/>
      <c r="F30" s="17"/>
      <c r="G30" s="17"/>
      <c r="H30" s="17"/>
      <c r="I30" s="17"/>
    </row>
    <row r="31" spans="1:9" ht="14.25" customHeight="1">
      <c r="A31" s="278" t="s">
        <v>201</v>
      </c>
      <c r="B31" s="278"/>
      <c r="C31" s="278"/>
      <c r="D31" s="278"/>
      <c r="E31" s="278"/>
      <c r="F31" s="17"/>
      <c r="G31" s="17"/>
      <c r="H31" s="17"/>
      <c r="I31" s="17"/>
    </row>
    <row r="32" spans="1:9" ht="14.25" customHeight="1">
      <c r="A32" s="280" t="s">
        <v>202</v>
      </c>
      <c r="B32" s="92"/>
      <c r="C32" s="92"/>
      <c r="D32" s="92"/>
      <c r="E32" s="82"/>
      <c r="F32" s="17"/>
      <c r="G32" s="17"/>
      <c r="H32" s="17"/>
      <c r="I32" s="17"/>
    </row>
    <row r="33" spans="1:9" ht="14.25" customHeight="1">
      <c r="A33" s="280" t="s">
        <v>203</v>
      </c>
      <c r="B33" s="92"/>
      <c r="C33" s="92"/>
      <c r="D33" s="92"/>
      <c r="E33" s="82"/>
      <c r="F33" s="17"/>
      <c r="G33" s="17"/>
      <c r="H33" s="17"/>
      <c r="I33" s="17"/>
    </row>
    <row r="34" spans="1:9" ht="14.25" customHeight="1">
      <c r="A34" s="279" t="s">
        <v>204</v>
      </c>
      <c r="B34" s="279"/>
      <c r="C34" s="279"/>
      <c r="D34" s="279"/>
      <c r="E34" s="279"/>
    </row>
    <row r="35" spans="1:9" ht="14.25" customHeight="1">
      <c r="A35" s="278" t="s">
        <v>205</v>
      </c>
      <c r="B35" s="278"/>
      <c r="C35" s="278"/>
      <c r="D35" s="278"/>
      <c r="E35" s="278"/>
    </row>
  </sheetData>
  <sheetProtection formatCells="0" formatColumns="0" formatRows="0" insertRows="0"/>
  <mergeCells count="4">
    <mergeCell ref="A30:E30"/>
    <mergeCell ref="A35:E35"/>
    <mergeCell ref="A34:E34"/>
    <mergeCell ref="A31:E31"/>
  </mergeCells>
  <phoneticPr fontId="78" type="noConversion"/>
  <pageMargins left="0.62992125984251968" right="0.51181102362204722" top="0.98425196850393704" bottom="0.98425196850393704" header="0.51181102362204722" footer="0.51181102362204722"/>
  <pageSetup paperSize="9" scale="87" firstPageNumber="52" fitToHeight="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BCB28-1F93-4215-8F6B-D5F7E8617785}">
  <sheetPr>
    <tabColor rgb="FFFFFF00"/>
    <pageSetUpPr fitToPage="1"/>
  </sheetPr>
  <dimension ref="A1:I35"/>
  <sheetViews>
    <sheetView view="pageBreakPreview" zoomScale="60" zoomScaleNormal="70" workbookViewId="0">
      <selection activeCell="H32" sqref="H32"/>
    </sheetView>
  </sheetViews>
  <sheetFormatPr defaultColWidth="8.88671875" defaultRowHeight="16.5"/>
  <cols>
    <col min="1" max="1" width="36.44140625" style="16" customWidth="1"/>
    <col min="2" max="2" width="15.44140625" style="16" customWidth="1"/>
    <col min="3" max="3" width="16" style="16" customWidth="1"/>
    <col min="4" max="4" width="17.109375" style="16" customWidth="1"/>
    <col min="5" max="5" width="12.5546875" style="16" customWidth="1"/>
    <col min="6" max="16384" width="8.88671875" style="16"/>
  </cols>
  <sheetData>
    <row r="1" spans="1:5" ht="26.25">
      <c r="A1" s="95" t="s">
        <v>163</v>
      </c>
      <c r="B1" s="82"/>
      <c r="C1" s="82"/>
      <c r="D1" s="97"/>
      <c r="E1" s="82"/>
    </row>
    <row r="2" spans="1:5" ht="18.75" customHeight="1">
      <c r="A2" s="9"/>
      <c r="B2" s="9"/>
      <c r="C2" s="9"/>
      <c r="D2" s="119"/>
      <c r="E2" s="82"/>
    </row>
    <row r="3" spans="1:5" ht="24.75" customHeight="1">
      <c r="A3" s="120" t="s">
        <v>164</v>
      </c>
      <c r="B3" s="120" t="s">
        <v>165</v>
      </c>
      <c r="C3" s="120" t="s">
        <v>166</v>
      </c>
      <c r="D3" s="82"/>
      <c r="E3" s="82"/>
    </row>
    <row r="4" spans="1:5" ht="24.75" customHeight="1">
      <c r="A4" s="121" t="s">
        <v>167</v>
      </c>
      <c r="B4" s="121"/>
      <c r="C4" s="122" t="s">
        <v>68</v>
      </c>
      <c r="D4" s="82"/>
      <c r="E4" s="82"/>
    </row>
    <row r="5" spans="1:5" ht="11.25" customHeight="1">
      <c r="A5" s="123"/>
      <c r="B5" s="123"/>
      <c r="C5" s="124"/>
      <c r="D5" s="82"/>
      <c r="E5" s="82"/>
    </row>
    <row r="6" spans="1:5" s="17" customFormat="1" ht="11.25" customHeight="1">
      <c r="A6" s="125"/>
      <c r="B6" s="125"/>
      <c r="C6" s="125"/>
      <c r="D6" s="126" t="s">
        <v>168</v>
      </c>
      <c r="E6" s="125"/>
    </row>
    <row r="7" spans="1:5" s="17" customFormat="1" ht="33.75" customHeight="1">
      <c r="A7" s="120" t="s">
        <v>164</v>
      </c>
      <c r="B7" s="120" t="s">
        <v>169</v>
      </c>
      <c r="C7" s="120" t="s">
        <v>170</v>
      </c>
      <c r="D7" s="120" t="s">
        <v>171</v>
      </c>
      <c r="E7" s="125"/>
    </row>
    <row r="8" spans="1:5" s="17" customFormat="1" ht="24.75" customHeight="1">
      <c r="A8" s="121" t="s">
        <v>172</v>
      </c>
      <c r="B8" s="127"/>
      <c r="C8" s="277" t="s">
        <v>254</v>
      </c>
      <c r="D8" s="122" t="s">
        <v>173</v>
      </c>
      <c r="E8" s="125"/>
    </row>
    <row r="9" spans="1:5" ht="11.25" customHeight="1">
      <c r="A9" s="123"/>
      <c r="B9" s="123"/>
      <c r="C9" s="124"/>
      <c r="D9" s="82"/>
      <c r="E9" s="82"/>
    </row>
    <row r="10" spans="1:5" s="17" customFormat="1" ht="11.25" customHeight="1">
      <c r="A10" s="125"/>
      <c r="B10" s="125"/>
      <c r="C10" s="125"/>
      <c r="D10" s="126" t="s">
        <v>174</v>
      </c>
      <c r="E10" s="125"/>
    </row>
    <row r="11" spans="1:5" s="17" customFormat="1" ht="33.75" customHeight="1">
      <c r="A11" s="120" t="s">
        <v>164</v>
      </c>
      <c r="B11" s="120" t="s">
        <v>175</v>
      </c>
      <c r="C11" s="120" t="s">
        <v>176</v>
      </c>
      <c r="D11" s="120" t="s">
        <v>177</v>
      </c>
      <c r="E11" s="125"/>
    </row>
    <row r="12" spans="1:5" s="17" customFormat="1" ht="24.75" customHeight="1">
      <c r="A12" s="121" t="s">
        <v>178</v>
      </c>
      <c r="B12" s="154"/>
      <c r="C12" s="128" t="s">
        <v>179</v>
      </c>
      <c r="D12" s="122" t="s">
        <v>173</v>
      </c>
      <c r="E12" s="125"/>
    </row>
    <row r="13" spans="1:5" ht="11.25" customHeight="1">
      <c r="A13" s="123"/>
      <c r="B13" s="123"/>
      <c r="C13" s="124"/>
      <c r="D13" s="82"/>
      <c r="E13" s="82"/>
    </row>
    <row r="14" spans="1:5" s="17" customFormat="1" ht="11.25" customHeight="1">
      <c r="A14" s="125"/>
      <c r="B14" s="125"/>
      <c r="C14" s="125"/>
      <c r="D14" s="125"/>
      <c r="E14" s="126" t="s">
        <v>168</v>
      </c>
    </row>
    <row r="15" spans="1:5" s="17" customFormat="1" ht="33.75" customHeight="1">
      <c r="A15" s="120" t="s">
        <v>164</v>
      </c>
      <c r="B15" s="120" t="s">
        <v>169</v>
      </c>
      <c r="C15" s="129" t="s">
        <v>180</v>
      </c>
      <c r="D15" s="120" t="s">
        <v>181</v>
      </c>
      <c r="E15" s="120" t="s">
        <v>182</v>
      </c>
    </row>
    <row r="16" spans="1:5" s="17" customFormat="1" ht="37.5" customHeight="1">
      <c r="A16" s="130" t="s">
        <v>183</v>
      </c>
      <c r="B16" s="130"/>
      <c r="C16" s="127"/>
      <c r="D16" s="131" t="s">
        <v>184</v>
      </c>
      <c r="E16" s="122" t="s">
        <v>173</v>
      </c>
    </row>
    <row r="17" spans="1:9" ht="11.25" customHeight="1">
      <c r="A17" s="123"/>
      <c r="B17" s="123"/>
      <c r="C17" s="124"/>
      <c r="D17" s="82"/>
      <c r="E17" s="82"/>
    </row>
    <row r="18" spans="1:9" s="17" customFormat="1" ht="11.25" customHeight="1">
      <c r="A18" s="125"/>
      <c r="B18" s="125"/>
      <c r="C18" s="125"/>
      <c r="D18" s="126" t="s">
        <v>168</v>
      </c>
      <c r="E18" s="125"/>
    </row>
    <row r="19" spans="1:9" s="17" customFormat="1" ht="33.75" customHeight="1">
      <c r="A19" s="120" t="s">
        <v>164</v>
      </c>
      <c r="B19" s="129" t="s">
        <v>180</v>
      </c>
      <c r="C19" s="120" t="s">
        <v>185</v>
      </c>
      <c r="D19" s="120" t="s">
        <v>177</v>
      </c>
      <c r="E19" s="125"/>
    </row>
    <row r="20" spans="1:9" s="17" customFormat="1" ht="39.75" customHeight="1">
      <c r="A20" s="130" t="s">
        <v>186</v>
      </c>
      <c r="B20" s="127"/>
      <c r="C20" s="132" t="s">
        <v>187</v>
      </c>
      <c r="D20" s="122" t="s">
        <v>173</v>
      </c>
      <c r="E20" s="125"/>
    </row>
    <row r="21" spans="1:9" s="17" customFormat="1" ht="24" customHeight="1">
      <c r="A21" s="125"/>
      <c r="B21" s="125"/>
      <c r="C21" s="125"/>
      <c r="D21" s="125"/>
      <c r="E21" s="125"/>
    </row>
    <row r="22" spans="1:9" s="17" customFormat="1" ht="33.75" customHeight="1">
      <c r="A22" s="120" t="s">
        <v>164</v>
      </c>
      <c r="B22" s="120" t="s">
        <v>188</v>
      </c>
      <c r="C22" s="120" t="s">
        <v>189</v>
      </c>
      <c r="D22" s="120" t="s">
        <v>190</v>
      </c>
      <c r="E22" s="125"/>
    </row>
    <row r="23" spans="1:9" s="17" customFormat="1" ht="30" customHeight="1">
      <c r="A23" s="130" t="s">
        <v>191</v>
      </c>
      <c r="B23" s="128" t="s">
        <v>192</v>
      </c>
      <c r="C23" s="128" t="s">
        <v>193</v>
      </c>
      <c r="D23" s="128"/>
      <c r="E23" s="125"/>
    </row>
    <row r="24" spans="1:9" ht="11.25" customHeight="1">
      <c r="A24" s="123"/>
      <c r="B24" s="123"/>
      <c r="C24" s="124"/>
      <c r="D24" s="82"/>
      <c r="E24" s="82"/>
    </row>
    <row r="25" spans="1:9" s="17" customFormat="1" ht="11.25" customHeight="1">
      <c r="A25" s="125"/>
      <c r="B25" s="125"/>
      <c r="C25" s="125"/>
      <c r="D25" s="125"/>
      <c r="E25" s="126" t="s">
        <v>168</v>
      </c>
    </row>
    <row r="26" spans="1:9" s="17" customFormat="1" ht="33.75" customHeight="1">
      <c r="A26" s="120" t="s">
        <v>164</v>
      </c>
      <c r="B26" s="129" t="s">
        <v>194</v>
      </c>
      <c r="C26" s="120" t="s">
        <v>195</v>
      </c>
      <c r="D26" s="120" t="s">
        <v>171</v>
      </c>
      <c r="E26" s="120" t="s">
        <v>196</v>
      </c>
    </row>
    <row r="27" spans="1:9" s="17" customFormat="1" ht="30" customHeight="1">
      <c r="A27" s="130" t="s">
        <v>197</v>
      </c>
      <c r="B27" s="127"/>
      <c r="C27" s="128" t="s">
        <v>198</v>
      </c>
      <c r="D27" s="122" t="s">
        <v>173</v>
      </c>
      <c r="E27" s="133" t="s">
        <v>199</v>
      </c>
    </row>
    <row r="28" spans="1:9" s="17" customFormat="1" ht="24" customHeight="1">
      <c r="A28" s="125"/>
      <c r="B28" s="125"/>
      <c r="C28" s="125"/>
      <c r="D28" s="125"/>
      <c r="E28" s="125"/>
    </row>
    <row r="29" spans="1:9" ht="21.75" customHeight="1">
      <c r="A29" s="116" t="s">
        <v>0</v>
      </c>
      <c r="B29" s="82"/>
      <c r="C29" s="82"/>
      <c r="D29" s="82"/>
      <c r="E29" s="82"/>
    </row>
    <row r="30" spans="1:9" ht="14.25" customHeight="1">
      <c r="A30" s="201" t="s">
        <v>200</v>
      </c>
      <c r="B30" s="201"/>
      <c r="C30" s="201"/>
      <c r="D30" s="201"/>
      <c r="E30" s="201"/>
      <c r="F30" s="17"/>
      <c r="G30" s="17"/>
      <c r="H30" s="17"/>
      <c r="I30" s="17"/>
    </row>
    <row r="31" spans="1:9" ht="14.25" customHeight="1">
      <c r="A31" s="201" t="s">
        <v>201</v>
      </c>
      <c r="B31" s="201"/>
      <c r="C31" s="201"/>
      <c r="D31" s="201"/>
      <c r="E31" s="201"/>
      <c r="F31" s="17"/>
      <c r="G31" s="17"/>
      <c r="H31" s="17"/>
      <c r="I31" s="17"/>
    </row>
    <row r="32" spans="1:9" ht="14.25" customHeight="1">
      <c r="A32" s="8" t="s">
        <v>202</v>
      </c>
      <c r="B32" s="8"/>
      <c r="C32" s="8"/>
      <c r="D32" s="8"/>
      <c r="E32" s="82"/>
      <c r="F32" s="17"/>
      <c r="G32" s="17"/>
      <c r="H32" s="17"/>
      <c r="I32" s="17"/>
    </row>
    <row r="33" spans="1:9" ht="14.25" customHeight="1">
      <c r="A33" s="8" t="s">
        <v>203</v>
      </c>
      <c r="B33" s="8"/>
      <c r="C33" s="8"/>
      <c r="D33" s="8"/>
      <c r="E33" s="82"/>
      <c r="F33" s="17"/>
      <c r="G33" s="17"/>
      <c r="H33" s="17"/>
      <c r="I33" s="17"/>
    </row>
    <row r="34" spans="1:9" ht="14.25" customHeight="1">
      <c r="A34" s="202" t="s">
        <v>204</v>
      </c>
      <c r="B34" s="202"/>
      <c r="C34" s="202"/>
      <c r="D34" s="202"/>
      <c r="E34" s="202"/>
    </row>
    <row r="35" spans="1:9" ht="14.25" customHeight="1">
      <c r="A35" s="201" t="s">
        <v>205</v>
      </c>
      <c r="B35" s="201"/>
      <c r="C35" s="201"/>
      <c r="D35" s="201"/>
      <c r="E35" s="201"/>
    </row>
  </sheetData>
  <sheetProtection formatCells="0" formatColumns="0" formatRows="0" insertRows="0"/>
  <mergeCells count="4">
    <mergeCell ref="A30:E30"/>
    <mergeCell ref="A31:E31"/>
    <mergeCell ref="A34:E34"/>
    <mergeCell ref="A35:E35"/>
  </mergeCells>
  <phoneticPr fontId="78" type="noConversion"/>
  <pageMargins left="0.62992125984251968" right="0.51181102362204722" top="0.98425196850393704" bottom="0.98425196850393704" header="0.51181102362204722" footer="0.51181102362204722"/>
  <pageSetup paperSize="9" scale="81" firstPageNumber="52" fitToHeight="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AC198-B383-4702-9DCB-3EAD9498F129}">
  <dimension ref="A1:R37"/>
  <sheetViews>
    <sheetView zoomScale="85" zoomScaleNormal="85" workbookViewId="0">
      <selection activeCell="M40" sqref="M40"/>
    </sheetView>
  </sheetViews>
  <sheetFormatPr defaultRowHeight="16.5"/>
  <cols>
    <col min="1" max="2" width="4.44140625" style="82" customWidth="1"/>
    <col min="3" max="3" width="7" style="82" customWidth="1"/>
    <col min="4" max="4" width="4.21875" style="82" customWidth="1"/>
    <col min="5" max="5" width="11.6640625" style="82" customWidth="1"/>
    <col min="6" max="6" width="9.77734375" style="82" customWidth="1"/>
    <col min="7" max="7" width="18.88671875" style="82" customWidth="1"/>
    <col min="8" max="8" width="9.77734375" style="82" customWidth="1"/>
    <col min="9" max="9" width="18.88671875" style="82" customWidth="1"/>
    <col min="10" max="10" width="9.77734375" style="82" customWidth="1"/>
    <col min="11" max="11" width="18.88671875" style="82" customWidth="1"/>
    <col min="12" max="12" width="9.77734375" style="82" customWidth="1"/>
    <col min="13" max="13" width="18.88671875" style="82" customWidth="1"/>
    <col min="14" max="14" width="9.77734375" style="82" customWidth="1"/>
    <col min="15" max="15" width="18.88671875" style="82" customWidth="1"/>
    <col min="16" max="16" width="9.77734375" style="82" customWidth="1"/>
    <col min="17" max="17" width="21.6640625" style="82" customWidth="1"/>
    <col min="18" max="16384" width="8.88671875" style="82"/>
  </cols>
  <sheetData>
    <row r="1" spans="1:18" ht="26.25">
      <c r="A1" s="274" t="s">
        <v>137</v>
      </c>
      <c r="B1" s="274"/>
      <c r="C1" s="96"/>
      <c r="Q1" s="97"/>
    </row>
    <row r="2" spans="1:18" ht="20.25">
      <c r="A2" s="5"/>
      <c r="B2" s="5"/>
      <c r="C2" s="96"/>
      <c r="Q2" s="99" t="s">
        <v>138</v>
      </c>
    </row>
    <row r="3" spans="1:18">
      <c r="A3" s="226" t="s">
        <v>12</v>
      </c>
      <c r="B3" s="227"/>
      <c r="C3" s="228"/>
      <c r="D3" s="228"/>
      <c r="E3" s="229"/>
      <c r="F3" s="225" t="s">
        <v>139</v>
      </c>
      <c r="G3" s="225"/>
      <c r="H3" s="233" t="s">
        <v>140</v>
      </c>
      <c r="I3" s="225"/>
      <c r="J3" s="233" t="s">
        <v>141</v>
      </c>
      <c r="K3" s="225"/>
      <c r="L3" s="233" t="s">
        <v>142</v>
      </c>
      <c r="M3" s="225"/>
      <c r="N3" s="233" t="s">
        <v>143</v>
      </c>
      <c r="O3" s="225"/>
      <c r="P3" s="225" t="s">
        <v>144</v>
      </c>
      <c r="Q3" s="225"/>
    </row>
    <row r="4" spans="1:18">
      <c r="A4" s="230"/>
      <c r="B4" s="231"/>
      <c r="C4" s="231"/>
      <c r="D4" s="231"/>
      <c r="E4" s="232"/>
      <c r="F4" s="165" t="s">
        <v>145</v>
      </c>
      <c r="G4" s="164" t="s">
        <v>146</v>
      </c>
      <c r="H4" s="165" t="s">
        <v>145</v>
      </c>
      <c r="I4" s="164" t="s">
        <v>146</v>
      </c>
      <c r="J4" s="165" t="s">
        <v>145</v>
      </c>
      <c r="K4" s="164" t="s">
        <v>146</v>
      </c>
      <c r="L4" s="165" t="s">
        <v>145</v>
      </c>
      <c r="M4" s="164" t="s">
        <v>146</v>
      </c>
      <c r="N4" s="165" t="s">
        <v>145</v>
      </c>
      <c r="O4" s="164" t="s">
        <v>146</v>
      </c>
      <c r="P4" s="165" t="s">
        <v>145</v>
      </c>
      <c r="Q4" s="164" t="s">
        <v>146</v>
      </c>
    </row>
    <row r="5" spans="1:18">
      <c r="A5" s="295"/>
      <c r="B5" s="309" t="s">
        <v>147</v>
      </c>
      <c r="C5" s="308"/>
      <c r="D5" s="297" t="s">
        <v>148</v>
      </c>
      <c r="E5" s="296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4">
        <f>SUM(F5,H5,J5,L5,N5)</f>
        <v>0</v>
      </c>
      <c r="Q5" s="104">
        <f>SUM(G5,I5,K5,M5,O5)</f>
        <v>0</v>
      </c>
      <c r="R5" s="94"/>
    </row>
    <row r="6" spans="1:18">
      <c r="A6" s="295"/>
      <c r="B6" s="301"/>
      <c r="C6" s="300"/>
      <c r="D6" s="307" t="s">
        <v>149</v>
      </c>
      <c r="E6" s="306" t="s">
        <v>150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7">
        <f>SUM(F6,H6,J6,L6,N6)</f>
        <v>0</v>
      </c>
      <c r="Q6" s="107">
        <f>SUM(G6,I6,K6,M6,O6)</f>
        <v>0</v>
      </c>
      <c r="R6" s="94"/>
    </row>
    <row r="7" spans="1:18">
      <c r="A7" s="295"/>
      <c r="B7" s="301"/>
      <c r="C7" s="300"/>
      <c r="D7" s="305"/>
      <c r="E7" s="304" t="s">
        <v>151</v>
      </c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10">
        <f>SUM(F7,H7,J7,L7,N7)</f>
        <v>0</v>
      </c>
      <c r="Q7" s="110">
        <f>SUM(G7,I7,K7,M7,O7)</f>
        <v>0</v>
      </c>
      <c r="R7" s="94"/>
    </row>
    <row r="8" spans="1:18">
      <c r="A8" s="295"/>
      <c r="B8" s="301"/>
      <c r="C8" s="300"/>
      <c r="D8" s="303"/>
      <c r="E8" s="302" t="s">
        <v>152</v>
      </c>
      <c r="F8" s="112">
        <f>SUM(F6:F7)</f>
        <v>0</v>
      </c>
      <c r="G8" s="112">
        <f>SUM(G6:G7)</f>
        <v>0</v>
      </c>
      <c r="H8" s="112">
        <f>SUM(H6:H7)</f>
        <v>0</v>
      </c>
      <c r="I8" s="112">
        <f>SUM(I6:I7)</f>
        <v>0</v>
      </c>
      <c r="J8" s="112">
        <f>SUM(J6:J7)</f>
        <v>0</v>
      </c>
      <c r="K8" s="112">
        <f>SUM(K6:K7)</f>
        <v>0</v>
      </c>
      <c r="L8" s="112">
        <f>SUM(L6:L7)</f>
        <v>0</v>
      </c>
      <c r="M8" s="112">
        <f>SUM(M6:M7)</f>
        <v>0</v>
      </c>
      <c r="N8" s="112">
        <f>SUM(N6:N7)</f>
        <v>0</v>
      </c>
      <c r="O8" s="112">
        <f>SUM(O6:O7)</f>
        <v>0</v>
      </c>
      <c r="P8" s="112">
        <f>SUM(F8,H8,J8,L8,N8)</f>
        <v>0</v>
      </c>
      <c r="Q8" s="112">
        <f>SUM(G8,I8,K8,M8,O8)</f>
        <v>0</v>
      </c>
      <c r="R8" s="94"/>
    </row>
    <row r="9" spans="1:18">
      <c r="A9" s="295"/>
      <c r="B9" s="301"/>
      <c r="C9" s="300"/>
      <c r="D9" s="297" t="s">
        <v>153</v>
      </c>
      <c r="E9" s="296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4">
        <f>SUM(F9,H9,J9,L9,N9)</f>
        <v>0</v>
      </c>
      <c r="Q9" s="104">
        <f>SUM(G9,I9,K9,M9,O9)</f>
        <v>0</v>
      </c>
      <c r="R9" s="94"/>
    </row>
    <row r="10" spans="1:18">
      <c r="A10" s="295"/>
      <c r="B10" s="299"/>
      <c r="C10" s="298"/>
      <c r="D10" s="297" t="s">
        <v>154</v>
      </c>
      <c r="E10" s="296"/>
      <c r="F10" s="104">
        <f>SUM(F5,F8,F9)</f>
        <v>0</v>
      </c>
      <c r="G10" s="104">
        <f>SUM(G5,G8,G9)</f>
        <v>0</v>
      </c>
      <c r="H10" s="104">
        <f>SUM(H5,H8,H9)</f>
        <v>0</v>
      </c>
      <c r="I10" s="104">
        <f>SUM(I5,I8,I9)</f>
        <v>0</v>
      </c>
      <c r="J10" s="104">
        <f>SUM(J5,J8,J9)</f>
        <v>0</v>
      </c>
      <c r="K10" s="104">
        <f>SUM(K5,K8,K9)</f>
        <v>0</v>
      </c>
      <c r="L10" s="104">
        <f>SUM(L5,L8,L9)</f>
        <v>0</v>
      </c>
      <c r="M10" s="104">
        <f>SUM(M5,M8,M9)</f>
        <v>0</v>
      </c>
      <c r="N10" s="104">
        <f>SUM(N5,N8,N9)</f>
        <v>0</v>
      </c>
      <c r="O10" s="104">
        <f>SUM(O5,O8,O9)</f>
        <v>0</v>
      </c>
      <c r="P10" s="104">
        <f>SUM(F10,H10,J10,L10,N10)</f>
        <v>0</v>
      </c>
      <c r="Q10" s="104">
        <f>SUM(G10,I10,K10,M10,O10)</f>
        <v>0</v>
      </c>
      <c r="R10" s="94"/>
    </row>
    <row r="11" spans="1:18">
      <c r="A11" s="295"/>
      <c r="B11" s="317" t="s">
        <v>155</v>
      </c>
      <c r="C11" s="317" t="s">
        <v>156</v>
      </c>
      <c r="D11" s="297" t="s">
        <v>148</v>
      </c>
      <c r="E11" s="296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4">
        <f>SUM(F11,H11,J11,L11,N11)</f>
        <v>0</v>
      </c>
      <c r="Q11" s="104">
        <f>SUM(G11,I11,K11,M11,O11)</f>
        <v>0</v>
      </c>
      <c r="R11" s="94"/>
    </row>
    <row r="12" spans="1:18">
      <c r="A12" s="295"/>
      <c r="B12" s="316"/>
      <c r="C12" s="316"/>
      <c r="D12" s="307" t="s">
        <v>149</v>
      </c>
      <c r="E12" s="306" t="s">
        <v>150</v>
      </c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7">
        <f>SUM(F12,H12,J12,L12,N12)</f>
        <v>0</v>
      </c>
      <c r="Q12" s="107">
        <f>SUM(G12,I12,K12,M12,O12)</f>
        <v>0</v>
      </c>
      <c r="R12" s="94"/>
    </row>
    <row r="13" spans="1:18">
      <c r="A13" s="295"/>
      <c r="B13" s="316"/>
      <c r="C13" s="316"/>
      <c r="D13" s="305"/>
      <c r="E13" s="304" t="s">
        <v>151</v>
      </c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10">
        <f>SUM(F13,H13,J13,L13,N13)</f>
        <v>0</v>
      </c>
      <c r="Q13" s="110">
        <f>SUM(G13,I13,K13,M13,O13)</f>
        <v>0</v>
      </c>
      <c r="R13" s="94"/>
    </row>
    <row r="14" spans="1:18">
      <c r="A14" s="295"/>
      <c r="B14" s="316"/>
      <c r="C14" s="316"/>
      <c r="D14" s="303"/>
      <c r="E14" s="302" t="s">
        <v>152</v>
      </c>
      <c r="F14" s="112">
        <f>SUM(F12:F13)</f>
        <v>0</v>
      </c>
      <c r="G14" s="112">
        <f>SUM(G12:G13)</f>
        <v>0</v>
      </c>
      <c r="H14" s="112">
        <f>SUM(H12:H13)</f>
        <v>0</v>
      </c>
      <c r="I14" s="112">
        <f>SUM(I12:I13)</f>
        <v>0</v>
      </c>
      <c r="J14" s="112">
        <f>SUM(J12:J13)</f>
        <v>0</v>
      </c>
      <c r="K14" s="112">
        <f>SUM(K12:K13)</f>
        <v>0</v>
      </c>
      <c r="L14" s="112">
        <f>SUM(L12:L13)</f>
        <v>0</v>
      </c>
      <c r="M14" s="112">
        <f>SUM(M12:M13)</f>
        <v>0</v>
      </c>
      <c r="N14" s="112">
        <f>SUM(N12:N13)</f>
        <v>0</v>
      </c>
      <c r="O14" s="112">
        <f>SUM(O12:O13)</f>
        <v>0</v>
      </c>
      <c r="P14" s="112">
        <f>SUM(F14,H14,J14,L14,N14)</f>
        <v>0</v>
      </c>
      <c r="Q14" s="112">
        <f>SUM(G14,I14,K14,M14,O14)</f>
        <v>0</v>
      </c>
      <c r="R14" s="94"/>
    </row>
    <row r="15" spans="1:18">
      <c r="A15" s="295"/>
      <c r="B15" s="316"/>
      <c r="C15" s="316"/>
      <c r="D15" s="297" t="s">
        <v>153</v>
      </c>
      <c r="E15" s="296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4">
        <f>SUM(F15,H15,J15,L15,N15)</f>
        <v>0</v>
      </c>
      <c r="Q15" s="104">
        <f>SUM(G15,I15,K15,M15,O15)</f>
        <v>0</v>
      </c>
      <c r="R15" s="94"/>
    </row>
    <row r="16" spans="1:18">
      <c r="A16" s="295"/>
      <c r="B16" s="316"/>
      <c r="C16" s="313"/>
      <c r="D16" s="297" t="s">
        <v>154</v>
      </c>
      <c r="E16" s="296"/>
      <c r="F16" s="104">
        <f>SUM(F11,F14,F15)</f>
        <v>0</v>
      </c>
      <c r="G16" s="104">
        <f>SUM(G11,G14,G15)</f>
        <v>0</v>
      </c>
      <c r="H16" s="104">
        <f>SUM(H11,H14,H15)</f>
        <v>0</v>
      </c>
      <c r="I16" s="104">
        <f>SUM(I11,I14,I15)</f>
        <v>0</v>
      </c>
      <c r="J16" s="104">
        <f>SUM(J11,J14,J15)</f>
        <v>0</v>
      </c>
      <c r="K16" s="104">
        <f>SUM(K11,K14,K15)</f>
        <v>0</v>
      </c>
      <c r="L16" s="104">
        <f>SUM(L11,L14,L15)</f>
        <v>0</v>
      </c>
      <c r="M16" s="104">
        <f>SUM(M11,M14,M15)</f>
        <v>0</v>
      </c>
      <c r="N16" s="104">
        <f>SUM(N11,N14,N15)</f>
        <v>0</v>
      </c>
      <c r="O16" s="104">
        <f>SUM(O11,O14,O15)</f>
        <v>0</v>
      </c>
      <c r="P16" s="104">
        <f>SUM(F16,H16,J16,L16,N16)</f>
        <v>0</v>
      </c>
      <c r="Q16" s="104">
        <f>SUM(G16,I16,K16,M16,O16)</f>
        <v>0</v>
      </c>
      <c r="R16" s="94"/>
    </row>
    <row r="17" spans="1:18">
      <c r="A17" s="295"/>
      <c r="B17" s="316"/>
      <c r="C17" s="317" t="s">
        <v>157</v>
      </c>
      <c r="D17" s="297" t="s">
        <v>148</v>
      </c>
      <c r="E17" s="296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4">
        <f>SUM(F17,H17,J17,L17,N17)</f>
        <v>0</v>
      </c>
      <c r="Q17" s="104">
        <f>SUM(G17,I17,K17,M17,O17)</f>
        <v>0</v>
      </c>
      <c r="R17" s="94"/>
    </row>
    <row r="18" spans="1:18">
      <c r="A18" s="295"/>
      <c r="B18" s="316"/>
      <c r="C18" s="316"/>
      <c r="D18" s="307" t="s">
        <v>149</v>
      </c>
      <c r="E18" s="306" t="s">
        <v>150</v>
      </c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7">
        <f>SUM(F18,H18,J18,L18,N18)</f>
        <v>0</v>
      </c>
      <c r="Q18" s="107">
        <f>SUM(G18,I18,K18,M18,O18)</f>
        <v>0</v>
      </c>
      <c r="R18" s="94"/>
    </row>
    <row r="19" spans="1:18">
      <c r="A19" s="295"/>
      <c r="B19" s="316"/>
      <c r="C19" s="316"/>
      <c r="D19" s="305"/>
      <c r="E19" s="304" t="s">
        <v>151</v>
      </c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10">
        <f>SUM(F19,H19,J19,L19,N19)</f>
        <v>0</v>
      </c>
      <c r="Q19" s="110">
        <f>SUM(G19,I19,K19,M19,O19)</f>
        <v>0</v>
      </c>
      <c r="R19" s="94"/>
    </row>
    <row r="20" spans="1:18">
      <c r="A20" s="295"/>
      <c r="B20" s="316"/>
      <c r="C20" s="316"/>
      <c r="D20" s="303"/>
      <c r="E20" s="302" t="s">
        <v>152</v>
      </c>
      <c r="F20" s="112">
        <f>SUM(F18:F19)</f>
        <v>0</v>
      </c>
      <c r="G20" s="112">
        <f>SUM(G18:G19)</f>
        <v>0</v>
      </c>
      <c r="H20" s="112">
        <f>SUM(H18:H19)</f>
        <v>0</v>
      </c>
      <c r="I20" s="112">
        <f>SUM(I18:I19)</f>
        <v>0</v>
      </c>
      <c r="J20" s="112">
        <f>SUM(J18:J19)</f>
        <v>0</v>
      </c>
      <c r="K20" s="112">
        <f>SUM(K18:K19)</f>
        <v>0</v>
      </c>
      <c r="L20" s="112">
        <f>SUM(L18:L19)</f>
        <v>0</v>
      </c>
      <c r="M20" s="112">
        <f>SUM(M18:M19)</f>
        <v>0</v>
      </c>
      <c r="N20" s="112">
        <f>SUM(N18:N19)</f>
        <v>0</v>
      </c>
      <c r="O20" s="112">
        <f>SUM(O18:O19)</f>
        <v>0</v>
      </c>
      <c r="P20" s="112">
        <f>SUM(F20,H20,J20,L20,N20)</f>
        <v>0</v>
      </c>
      <c r="Q20" s="112">
        <f>SUM(G20,I20,K20,M20,O20)</f>
        <v>0</v>
      </c>
      <c r="R20" s="94"/>
    </row>
    <row r="21" spans="1:18">
      <c r="A21" s="295"/>
      <c r="B21" s="316"/>
      <c r="C21" s="316"/>
      <c r="D21" s="297" t="s">
        <v>153</v>
      </c>
      <c r="E21" s="296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4">
        <f>SUM(F21,H21,J21,L21,N21)</f>
        <v>0</v>
      </c>
      <c r="Q21" s="104">
        <f>SUM(G21,I21,K21,M21,O21)</f>
        <v>0</v>
      </c>
      <c r="R21" s="94"/>
    </row>
    <row r="22" spans="1:18">
      <c r="A22" s="295"/>
      <c r="B22" s="316"/>
      <c r="C22" s="316"/>
      <c r="D22" s="315" t="s">
        <v>154</v>
      </c>
      <c r="E22" s="314"/>
      <c r="F22" s="104">
        <f>SUM(F17,F20,F21)</f>
        <v>0</v>
      </c>
      <c r="G22" s="104">
        <f>SUM(G17,G20,G21)</f>
        <v>0</v>
      </c>
      <c r="H22" s="104">
        <f>SUM(H17,H20,H21)</f>
        <v>0</v>
      </c>
      <c r="I22" s="104">
        <f>SUM(I17,I20,I21)</f>
        <v>0</v>
      </c>
      <c r="J22" s="104">
        <f>SUM(J17,J20,J21)</f>
        <v>0</v>
      </c>
      <c r="K22" s="104">
        <f>SUM(K17,K20,K21)</f>
        <v>0</v>
      </c>
      <c r="L22" s="104">
        <f>SUM(L17,L20,L21)</f>
        <v>0</v>
      </c>
      <c r="M22" s="104">
        <f>SUM(M17,M20,M21)</f>
        <v>0</v>
      </c>
      <c r="N22" s="104">
        <f>SUM(N17,N20,N21)</f>
        <v>0</v>
      </c>
      <c r="O22" s="104">
        <f>SUM(O17,O20,O21)</f>
        <v>0</v>
      </c>
      <c r="P22" s="104">
        <f>SUM(F22,H22,J22,L22,N22)</f>
        <v>0</v>
      </c>
      <c r="Q22" s="104">
        <f>SUM(G22,I22,K22,M22,O22)</f>
        <v>0</v>
      </c>
      <c r="R22" s="94"/>
    </row>
    <row r="23" spans="1:18">
      <c r="A23" s="295"/>
      <c r="B23" s="313"/>
      <c r="C23" s="312" t="s">
        <v>158</v>
      </c>
      <c r="D23" s="311"/>
      <c r="E23" s="310"/>
      <c r="F23" s="104">
        <f>F16+F22</f>
        <v>0</v>
      </c>
      <c r="G23" s="104">
        <f>G16+G22</f>
        <v>0</v>
      </c>
      <c r="H23" s="104">
        <f>H16+H22</f>
        <v>0</v>
      </c>
      <c r="I23" s="104">
        <f>I16+I22</f>
        <v>0</v>
      </c>
      <c r="J23" s="104">
        <f>J16+J22</f>
        <v>0</v>
      </c>
      <c r="K23" s="104">
        <f>K16+K22</f>
        <v>0</v>
      </c>
      <c r="L23" s="104">
        <f>L16+L22</f>
        <v>0</v>
      </c>
      <c r="M23" s="104">
        <f>M16+M22</f>
        <v>0</v>
      </c>
      <c r="N23" s="104">
        <f>N16+N22</f>
        <v>0</v>
      </c>
      <c r="O23" s="104">
        <f>O16+O22</f>
        <v>0</v>
      </c>
      <c r="P23" s="104">
        <f>P16+P22</f>
        <v>0</v>
      </c>
      <c r="Q23" s="104">
        <f>Q16+Q22</f>
        <v>0</v>
      </c>
      <c r="R23" s="94"/>
    </row>
    <row r="24" spans="1:18">
      <c r="A24" s="295"/>
      <c r="B24" s="309" t="s">
        <v>159</v>
      </c>
      <c r="C24" s="308"/>
      <c r="D24" s="297" t="s">
        <v>148</v>
      </c>
      <c r="E24" s="296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4">
        <f>SUM(F24,H24,J24,L24,N24)</f>
        <v>0</v>
      </c>
      <c r="Q24" s="104">
        <f>SUM(G24,I24,K24,M24,O24)</f>
        <v>0</v>
      </c>
      <c r="R24" s="94"/>
    </row>
    <row r="25" spans="1:18">
      <c r="A25" s="295"/>
      <c r="B25" s="301"/>
      <c r="C25" s="300"/>
      <c r="D25" s="307" t="s">
        <v>149</v>
      </c>
      <c r="E25" s="306" t="s">
        <v>150</v>
      </c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7">
        <f>SUM(F25,H25,J25,L25,N25)</f>
        <v>0</v>
      </c>
      <c r="Q25" s="107">
        <f>SUM(G25,I25,K25,M25,O25)</f>
        <v>0</v>
      </c>
      <c r="R25" s="94"/>
    </row>
    <row r="26" spans="1:18">
      <c r="A26" s="295"/>
      <c r="B26" s="301"/>
      <c r="C26" s="300"/>
      <c r="D26" s="305"/>
      <c r="E26" s="304" t="s">
        <v>151</v>
      </c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10">
        <f>SUM(F26,H26,J26,L26,N26)</f>
        <v>0</v>
      </c>
      <c r="Q26" s="110">
        <f>SUM(G26,I26,K26,M26,O26)</f>
        <v>0</v>
      </c>
      <c r="R26" s="94"/>
    </row>
    <row r="27" spans="1:18">
      <c r="A27" s="295"/>
      <c r="B27" s="301"/>
      <c r="C27" s="300"/>
      <c r="D27" s="303"/>
      <c r="E27" s="302" t="s">
        <v>152</v>
      </c>
      <c r="F27" s="112">
        <f>SUM(F25:F26)</f>
        <v>0</v>
      </c>
      <c r="G27" s="112">
        <f>SUM(G25:G26)</f>
        <v>0</v>
      </c>
      <c r="H27" s="112">
        <f>SUM(H25:H26)</f>
        <v>0</v>
      </c>
      <c r="I27" s="112">
        <f>SUM(I25:I26)</f>
        <v>0</v>
      </c>
      <c r="J27" s="112">
        <f>SUM(J25:J26)</f>
        <v>0</v>
      </c>
      <c r="K27" s="112">
        <f>SUM(K25:K26)</f>
        <v>0</v>
      </c>
      <c r="L27" s="112">
        <f>SUM(L25:L26)</f>
        <v>0</v>
      </c>
      <c r="M27" s="112">
        <f>SUM(M25:M26)</f>
        <v>0</v>
      </c>
      <c r="N27" s="112">
        <f>SUM(N25:N26)</f>
        <v>0</v>
      </c>
      <c r="O27" s="112">
        <f>SUM(O25:O26)</f>
        <v>0</v>
      </c>
      <c r="P27" s="112">
        <f>SUM(F27,H27,J27,L27,N27)</f>
        <v>0</v>
      </c>
      <c r="Q27" s="112">
        <f>SUM(G27,I27,K27,M27,O27)</f>
        <v>0</v>
      </c>
      <c r="R27" s="94"/>
    </row>
    <row r="28" spans="1:18">
      <c r="A28" s="295"/>
      <c r="B28" s="301"/>
      <c r="C28" s="300"/>
      <c r="D28" s="297" t="s">
        <v>153</v>
      </c>
      <c r="E28" s="296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4">
        <f>SUM(F28,H28,J28,L28,N28)</f>
        <v>0</v>
      </c>
      <c r="Q28" s="104">
        <f>SUM(G28,I28,K28,M28,O28)</f>
        <v>0</v>
      </c>
      <c r="R28" s="94"/>
    </row>
    <row r="29" spans="1:18">
      <c r="A29" s="295"/>
      <c r="B29" s="299"/>
      <c r="C29" s="298"/>
      <c r="D29" s="297" t="s">
        <v>154</v>
      </c>
      <c r="E29" s="296"/>
      <c r="F29" s="104">
        <f>SUM(F24,F27,F28)</f>
        <v>0</v>
      </c>
      <c r="G29" s="104">
        <f>SUM(G24,G27,G28)</f>
        <v>0</v>
      </c>
      <c r="H29" s="104">
        <f>SUM(H24,H27,H28)</f>
        <v>0</v>
      </c>
      <c r="I29" s="104">
        <f>SUM(I24,I27,I28)</f>
        <v>0</v>
      </c>
      <c r="J29" s="104">
        <f>SUM(J24,J27,J28)</f>
        <v>0</v>
      </c>
      <c r="K29" s="104">
        <f>SUM(K24,K27,K28)</f>
        <v>0</v>
      </c>
      <c r="L29" s="104">
        <f>SUM(L24,L27,L28)</f>
        <v>0</v>
      </c>
      <c r="M29" s="104">
        <f>SUM(M24,M27,M28)</f>
        <v>0</v>
      </c>
      <c r="N29" s="104">
        <f>SUM(N24,N27,N28)</f>
        <v>0</v>
      </c>
      <c r="O29" s="104">
        <f>SUM(O24,O27,O28)</f>
        <v>0</v>
      </c>
      <c r="P29" s="104">
        <f>SUM(F29,H29,J29,L29,N29)</f>
        <v>0</v>
      </c>
      <c r="Q29" s="104">
        <f>SUM(G29,I29,K29,M29,O29)</f>
        <v>0</v>
      </c>
      <c r="R29" s="94"/>
    </row>
    <row r="30" spans="1:18">
      <c r="A30" s="295"/>
      <c r="B30" s="294" t="s">
        <v>144</v>
      </c>
      <c r="C30" s="293"/>
      <c r="D30" s="293"/>
      <c r="E30" s="292"/>
      <c r="F30" s="104">
        <f>SUM(F10,F23,F29)</f>
        <v>0</v>
      </c>
      <c r="G30" s="104">
        <f>SUM(G10,G23,G29)</f>
        <v>0</v>
      </c>
      <c r="H30" s="104">
        <f>SUM(H10,H23,H29)</f>
        <v>0</v>
      </c>
      <c r="I30" s="104">
        <f>SUM(I10,I23,I29)</f>
        <v>0</v>
      </c>
      <c r="J30" s="104">
        <f>SUM(J10,J23,J29)</f>
        <v>0</v>
      </c>
      <c r="K30" s="104">
        <f>SUM(K10,K23,K29)</f>
        <v>0</v>
      </c>
      <c r="L30" s="104">
        <f>SUM(L10,L23,L29)</f>
        <v>0</v>
      </c>
      <c r="M30" s="104">
        <f>SUM(M10,M23,M29)</f>
        <v>0</v>
      </c>
      <c r="N30" s="104">
        <f>SUM(N10,N23,N29)</f>
        <v>0</v>
      </c>
      <c r="O30" s="104">
        <f>SUM(O10,O23,O29)</f>
        <v>0</v>
      </c>
      <c r="P30" s="104">
        <f>SUM(F30,H30,J30,L30,N30)</f>
        <v>0</v>
      </c>
      <c r="Q30" s="104">
        <f>SUM(G30,I30,K30,M30,O30)</f>
        <v>0</v>
      </c>
      <c r="R30" s="94"/>
    </row>
    <row r="31" spans="1:18" ht="18">
      <c r="A31" s="285"/>
      <c r="B31" s="285"/>
      <c r="C31" s="291"/>
      <c r="D31" s="291"/>
      <c r="E31" s="291"/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90"/>
      <c r="Q31" s="289"/>
    </row>
    <row r="32" spans="1:18">
      <c r="A32" s="116" t="s">
        <v>0</v>
      </c>
      <c r="B32" s="116"/>
      <c r="C32" s="116"/>
      <c r="O32" s="94"/>
      <c r="P32" s="94"/>
      <c r="Q32" s="94"/>
    </row>
    <row r="33" spans="1:9" s="94" customFormat="1">
      <c r="A33" s="288" t="s">
        <v>160</v>
      </c>
      <c r="B33" s="288"/>
      <c r="C33" s="286"/>
      <c r="D33" s="92"/>
      <c r="E33" s="92"/>
      <c r="F33" s="92"/>
      <c r="G33" s="92"/>
      <c r="H33" s="92"/>
      <c r="I33" s="92"/>
    </row>
    <row r="34" spans="1:9" s="94" customFormat="1">
      <c r="A34" s="288" t="s">
        <v>161</v>
      </c>
      <c r="B34" s="288"/>
      <c r="C34" s="286"/>
      <c r="D34" s="92"/>
      <c r="E34" s="92"/>
      <c r="F34" s="92"/>
      <c r="G34" s="92"/>
      <c r="H34" s="92"/>
      <c r="I34" s="92"/>
    </row>
    <row r="35" spans="1:9" s="94" customFormat="1">
      <c r="A35" s="287" t="s">
        <v>282</v>
      </c>
      <c r="B35" s="287"/>
      <c r="C35" s="286"/>
      <c r="D35" s="92"/>
      <c r="E35" s="92"/>
      <c r="F35" s="92"/>
      <c r="G35" s="92"/>
      <c r="H35" s="92"/>
      <c r="I35" s="92"/>
    </row>
    <row r="36" spans="1:9" s="94" customFormat="1">
      <c r="A36" s="287" t="s">
        <v>281</v>
      </c>
      <c r="B36" s="287"/>
      <c r="C36" s="286"/>
      <c r="D36" s="92"/>
      <c r="E36" s="92"/>
      <c r="F36" s="92"/>
      <c r="G36" s="92"/>
      <c r="H36" s="92"/>
      <c r="I36" s="92"/>
    </row>
    <row r="37" spans="1:9">
      <c r="A37" s="116" t="s">
        <v>162</v>
      </c>
      <c r="B37" s="116"/>
      <c r="C37" s="8"/>
      <c r="D37" s="8"/>
      <c r="E37" s="8"/>
      <c r="F37" s="8"/>
      <c r="G37" s="8"/>
      <c r="H37" s="8"/>
      <c r="I37" s="8"/>
    </row>
  </sheetData>
  <mergeCells count="30">
    <mergeCell ref="D28:E28"/>
    <mergeCell ref="D29:E29"/>
    <mergeCell ref="B11:B23"/>
    <mergeCell ref="C11:C16"/>
    <mergeCell ref="D11:E11"/>
    <mergeCell ref="D12:D14"/>
    <mergeCell ref="D15:E15"/>
    <mergeCell ref="D16:E16"/>
    <mergeCell ref="C17:C22"/>
    <mergeCell ref="D17:E17"/>
    <mergeCell ref="H3:I3"/>
    <mergeCell ref="J3:K3"/>
    <mergeCell ref="L3:M3"/>
    <mergeCell ref="N3:O3"/>
    <mergeCell ref="B30:E30"/>
    <mergeCell ref="D22:E22"/>
    <mergeCell ref="C23:E23"/>
    <mergeCell ref="B24:C29"/>
    <mergeCell ref="D24:E24"/>
    <mergeCell ref="D25:D27"/>
    <mergeCell ref="D18:D20"/>
    <mergeCell ref="D21:E21"/>
    <mergeCell ref="P3:Q3"/>
    <mergeCell ref="B5:C10"/>
    <mergeCell ref="D5:E5"/>
    <mergeCell ref="D6:D8"/>
    <mergeCell ref="D9:E9"/>
    <mergeCell ref="D10:E10"/>
    <mergeCell ref="A3:E4"/>
    <mergeCell ref="F3:G3"/>
  </mergeCells>
  <phoneticPr fontId="7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096F5-46B9-4366-906B-1761BF8E4646}">
  <sheetPr>
    <tabColor rgb="FFFFFF00"/>
  </sheetPr>
  <dimension ref="A1:Q37"/>
  <sheetViews>
    <sheetView topLeftCell="A2" zoomScale="70" zoomScaleNormal="70" workbookViewId="0">
      <selection activeCell="Q42" sqref="Q42"/>
    </sheetView>
  </sheetViews>
  <sheetFormatPr defaultColWidth="8.88671875" defaultRowHeight="16.5"/>
  <cols>
    <col min="1" max="2" width="4.44140625" style="82" customWidth="1"/>
    <col min="3" max="3" width="7" style="82" customWidth="1"/>
    <col min="4" max="4" width="4.21875" style="82" customWidth="1"/>
    <col min="5" max="5" width="11.6640625" style="82" customWidth="1"/>
    <col min="6" max="6" width="9.77734375" style="82" customWidth="1"/>
    <col min="7" max="7" width="18.88671875" style="82" customWidth="1"/>
    <col min="8" max="8" width="9.77734375" style="82" customWidth="1"/>
    <col min="9" max="9" width="18.88671875" style="82" customWidth="1"/>
    <col min="10" max="10" width="9.77734375" style="82" customWidth="1"/>
    <col min="11" max="11" width="18.88671875" style="82" customWidth="1"/>
    <col min="12" max="12" width="9.77734375" style="82" customWidth="1"/>
    <col min="13" max="13" width="18.88671875" style="82" customWidth="1"/>
    <col min="14" max="14" width="9.77734375" style="82" customWidth="1"/>
    <col min="15" max="15" width="18.88671875" style="82" customWidth="1"/>
    <col min="16" max="16" width="9.77734375" style="82" customWidth="1"/>
    <col min="17" max="17" width="21.6640625" style="82" customWidth="1"/>
    <col min="18" max="16384" width="8.88671875" style="82"/>
  </cols>
  <sheetData>
    <row r="1" spans="1:17" ht="26.25">
      <c r="A1" s="95" t="s">
        <v>137</v>
      </c>
      <c r="B1" s="95"/>
      <c r="C1" s="96"/>
      <c r="Q1" s="97"/>
    </row>
    <row r="2" spans="1:17" ht="20.25">
      <c r="A2" s="98"/>
      <c r="B2" s="98"/>
      <c r="C2" s="96"/>
      <c r="Q2" s="99" t="s">
        <v>138</v>
      </c>
    </row>
    <row r="3" spans="1:17">
      <c r="A3" s="226" t="s">
        <v>12</v>
      </c>
      <c r="B3" s="227"/>
      <c r="C3" s="228"/>
      <c r="D3" s="228"/>
      <c r="E3" s="229"/>
      <c r="F3" s="225" t="s">
        <v>139</v>
      </c>
      <c r="G3" s="225"/>
      <c r="H3" s="233" t="s">
        <v>140</v>
      </c>
      <c r="I3" s="225"/>
      <c r="J3" s="233" t="s">
        <v>141</v>
      </c>
      <c r="K3" s="225"/>
      <c r="L3" s="233" t="s">
        <v>142</v>
      </c>
      <c r="M3" s="225"/>
      <c r="N3" s="233" t="s">
        <v>143</v>
      </c>
      <c r="O3" s="225"/>
      <c r="P3" s="225" t="s">
        <v>144</v>
      </c>
      <c r="Q3" s="225"/>
    </row>
    <row r="4" spans="1:17">
      <c r="A4" s="230"/>
      <c r="B4" s="231"/>
      <c r="C4" s="231"/>
      <c r="D4" s="231"/>
      <c r="E4" s="232"/>
      <c r="F4" s="100" t="s">
        <v>145</v>
      </c>
      <c r="G4" s="101" t="s">
        <v>146</v>
      </c>
      <c r="H4" s="100" t="s">
        <v>145</v>
      </c>
      <c r="I4" s="101" t="s">
        <v>146</v>
      </c>
      <c r="J4" s="100" t="s">
        <v>145</v>
      </c>
      <c r="K4" s="101" t="s">
        <v>146</v>
      </c>
      <c r="L4" s="100" t="s">
        <v>145</v>
      </c>
      <c r="M4" s="101" t="s">
        <v>146</v>
      </c>
      <c r="N4" s="100" t="s">
        <v>145</v>
      </c>
      <c r="O4" s="101" t="s">
        <v>146</v>
      </c>
      <c r="P4" s="100" t="s">
        <v>145</v>
      </c>
      <c r="Q4" s="101" t="s">
        <v>146</v>
      </c>
    </row>
    <row r="5" spans="1:17">
      <c r="A5" s="102"/>
      <c r="B5" s="211" t="s">
        <v>147</v>
      </c>
      <c r="C5" s="212"/>
      <c r="D5" s="217" t="s">
        <v>148</v>
      </c>
      <c r="E5" s="218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4">
        <f>SUM(F5,H5,J5,L5,N5)</f>
        <v>0</v>
      </c>
      <c r="Q5" s="104">
        <f>SUM(G5,I5,K5,M5,O5)</f>
        <v>0</v>
      </c>
    </row>
    <row r="6" spans="1:17">
      <c r="A6" s="102"/>
      <c r="B6" s="213"/>
      <c r="C6" s="214"/>
      <c r="D6" s="219" t="s">
        <v>149</v>
      </c>
      <c r="E6" s="105" t="s">
        <v>150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7">
        <f t="shared" ref="P6:Q29" si="0">SUM(F6,H6,J6,L6,N6)</f>
        <v>0</v>
      </c>
      <c r="Q6" s="107">
        <f t="shared" si="0"/>
        <v>0</v>
      </c>
    </row>
    <row r="7" spans="1:17">
      <c r="A7" s="102"/>
      <c r="B7" s="213"/>
      <c r="C7" s="214"/>
      <c r="D7" s="220"/>
      <c r="E7" s="108" t="s">
        <v>151</v>
      </c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10">
        <f t="shared" si="0"/>
        <v>0</v>
      </c>
      <c r="Q7" s="110">
        <f t="shared" si="0"/>
        <v>0</v>
      </c>
    </row>
    <row r="8" spans="1:17">
      <c r="A8" s="102"/>
      <c r="B8" s="213"/>
      <c r="C8" s="214"/>
      <c r="D8" s="221"/>
      <c r="E8" s="111" t="s">
        <v>152</v>
      </c>
      <c r="F8" s="112">
        <f>SUM(F6:F7)</f>
        <v>0</v>
      </c>
      <c r="G8" s="112">
        <f t="shared" ref="G8:O8" si="1">SUM(G6:G7)</f>
        <v>0</v>
      </c>
      <c r="H8" s="112">
        <f t="shared" si="1"/>
        <v>0</v>
      </c>
      <c r="I8" s="112">
        <f t="shared" si="1"/>
        <v>0</v>
      </c>
      <c r="J8" s="112">
        <f t="shared" si="1"/>
        <v>0</v>
      </c>
      <c r="K8" s="112">
        <f t="shared" si="1"/>
        <v>0</v>
      </c>
      <c r="L8" s="112">
        <f t="shared" si="1"/>
        <v>0</v>
      </c>
      <c r="M8" s="112">
        <f t="shared" si="1"/>
        <v>0</v>
      </c>
      <c r="N8" s="112">
        <f t="shared" si="1"/>
        <v>0</v>
      </c>
      <c r="O8" s="112">
        <f t="shared" si="1"/>
        <v>0</v>
      </c>
      <c r="P8" s="112">
        <f t="shared" si="0"/>
        <v>0</v>
      </c>
      <c r="Q8" s="112">
        <f t="shared" si="0"/>
        <v>0</v>
      </c>
    </row>
    <row r="9" spans="1:17">
      <c r="A9" s="102"/>
      <c r="B9" s="213"/>
      <c r="C9" s="214"/>
      <c r="D9" s="217" t="s">
        <v>153</v>
      </c>
      <c r="E9" s="218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4">
        <f t="shared" si="0"/>
        <v>0</v>
      </c>
      <c r="Q9" s="104">
        <f t="shared" si="0"/>
        <v>0</v>
      </c>
    </row>
    <row r="10" spans="1:17">
      <c r="A10" s="102"/>
      <c r="B10" s="215"/>
      <c r="C10" s="216"/>
      <c r="D10" s="217" t="s">
        <v>154</v>
      </c>
      <c r="E10" s="218"/>
      <c r="F10" s="104">
        <f t="shared" ref="F10:O10" si="2">SUM(F5,F8,F9)</f>
        <v>0</v>
      </c>
      <c r="G10" s="104">
        <f t="shared" si="2"/>
        <v>0</v>
      </c>
      <c r="H10" s="104">
        <f t="shared" si="2"/>
        <v>0</v>
      </c>
      <c r="I10" s="104">
        <f t="shared" si="2"/>
        <v>0</v>
      </c>
      <c r="J10" s="104">
        <f t="shared" si="2"/>
        <v>0</v>
      </c>
      <c r="K10" s="104">
        <f t="shared" si="2"/>
        <v>0</v>
      </c>
      <c r="L10" s="104">
        <f t="shared" si="2"/>
        <v>0</v>
      </c>
      <c r="M10" s="104">
        <f t="shared" si="2"/>
        <v>0</v>
      </c>
      <c r="N10" s="104">
        <f t="shared" si="2"/>
        <v>0</v>
      </c>
      <c r="O10" s="104">
        <f t="shared" si="2"/>
        <v>0</v>
      </c>
      <c r="P10" s="104">
        <f t="shared" si="0"/>
        <v>0</v>
      </c>
      <c r="Q10" s="104">
        <f t="shared" si="0"/>
        <v>0</v>
      </c>
    </row>
    <row r="11" spans="1:17">
      <c r="A11" s="102"/>
      <c r="B11" s="222" t="s">
        <v>155</v>
      </c>
      <c r="C11" s="222" t="s">
        <v>156</v>
      </c>
      <c r="D11" s="217" t="s">
        <v>148</v>
      </c>
      <c r="E11" s="218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4">
        <f>SUM(F11,H11,J11,L11,N11)</f>
        <v>0</v>
      </c>
      <c r="Q11" s="104">
        <f>SUM(G11,I11,K11,M11,O11)</f>
        <v>0</v>
      </c>
    </row>
    <row r="12" spans="1:17">
      <c r="A12" s="102"/>
      <c r="B12" s="223"/>
      <c r="C12" s="223"/>
      <c r="D12" s="219" t="s">
        <v>149</v>
      </c>
      <c r="E12" s="105" t="s">
        <v>150</v>
      </c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7">
        <f t="shared" ref="P12:Q16" si="3">SUM(F12,H12,J12,L12,N12)</f>
        <v>0</v>
      </c>
      <c r="Q12" s="107">
        <f t="shared" si="3"/>
        <v>0</v>
      </c>
    </row>
    <row r="13" spans="1:17">
      <c r="A13" s="102"/>
      <c r="B13" s="223"/>
      <c r="C13" s="223"/>
      <c r="D13" s="220"/>
      <c r="E13" s="108" t="s">
        <v>151</v>
      </c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10">
        <f t="shared" si="3"/>
        <v>0</v>
      </c>
      <c r="Q13" s="110">
        <f t="shared" si="3"/>
        <v>0</v>
      </c>
    </row>
    <row r="14" spans="1:17">
      <c r="A14" s="102"/>
      <c r="B14" s="223"/>
      <c r="C14" s="223"/>
      <c r="D14" s="221"/>
      <c r="E14" s="111" t="s">
        <v>152</v>
      </c>
      <c r="F14" s="112">
        <f>SUM(F12:F13)</f>
        <v>0</v>
      </c>
      <c r="G14" s="112">
        <f t="shared" ref="G14:O14" si="4">SUM(G12:G13)</f>
        <v>0</v>
      </c>
      <c r="H14" s="112">
        <f t="shared" si="4"/>
        <v>0</v>
      </c>
      <c r="I14" s="112">
        <f t="shared" si="4"/>
        <v>0</v>
      </c>
      <c r="J14" s="112">
        <f t="shared" si="4"/>
        <v>0</v>
      </c>
      <c r="K14" s="112">
        <f t="shared" si="4"/>
        <v>0</v>
      </c>
      <c r="L14" s="112">
        <f t="shared" si="4"/>
        <v>0</v>
      </c>
      <c r="M14" s="112">
        <f t="shared" si="4"/>
        <v>0</v>
      </c>
      <c r="N14" s="112">
        <f t="shared" si="4"/>
        <v>0</v>
      </c>
      <c r="O14" s="112">
        <f t="shared" si="4"/>
        <v>0</v>
      </c>
      <c r="P14" s="112">
        <f t="shared" si="3"/>
        <v>0</v>
      </c>
      <c r="Q14" s="112">
        <f t="shared" si="3"/>
        <v>0</v>
      </c>
    </row>
    <row r="15" spans="1:17">
      <c r="A15" s="102"/>
      <c r="B15" s="223"/>
      <c r="C15" s="223"/>
      <c r="D15" s="217" t="s">
        <v>153</v>
      </c>
      <c r="E15" s="218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4">
        <f t="shared" si="3"/>
        <v>0</v>
      </c>
      <c r="Q15" s="104">
        <f t="shared" si="3"/>
        <v>0</v>
      </c>
    </row>
    <row r="16" spans="1:17">
      <c r="A16" s="102"/>
      <c r="B16" s="223"/>
      <c r="C16" s="224"/>
      <c r="D16" s="217" t="s">
        <v>154</v>
      </c>
      <c r="E16" s="218"/>
      <c r="F16" s="104">
        <f t="shared" ref="F16:O16" si="5">SUM(F11,F14,F15)</f>
        <v>0</v>
      </c>
      <c r="G16" s="104">
        <f t="shared" si="5"/>
        <v>0</v>
      </c>
      <c r="H16" s="104">
        <f t="shared" si="5"/>
        <v>0</v>
      </c>
      <c r="I16" s="104">
        <f t="shared" si="5"/>
        <v>0</v>
      </c>
      <c r="J16" s="104">
        <f t="shared" si="5"/>
        <v>0</v>
      </c>
      <c r="K16" s="104">
        <f t="shared" si="5"/>
        <v>0</v>
      </c>
      <c r="L16" s="104">
        <f t="shared" si="5"/>
        <v>0</v>
      </c>
      <c r="M16" s="104">
        <f t="shared" si="5"/>
        <v>0</v>
      </c>
      <c r="N16" s="104">
        <f t="shared" si="5"/>
        <v>0</v>
      </c>
      <c r="O16" s="104">
        <f t="shared" si="5"/>
        <v>0</v>
      </c>
      <c r="P16" s="104">
        <f t="shared" si="3"/>
        <v>0</v>
      </c>
      <c r="Q16" s="104">
        <f t="shared" si="3"/>
        <v>0</v>
      </c>
    </row>
    <row r="17" spans="1:17">
      <c r="A17" s="102"/>
      <c r="B17" s="223"/>
      <c r="C17" s="222" t="s">
        <v>157</v>
      </c>
      <c r="D17" s="217" t="s">
        <v>148</v>
      </c>
      <c r="E17" s="218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4">
        <f>SUM(F17,H17,J17,L17,N17)</f>
        <v>0</v>
      </c>
      <c r="Q17" s="104">
        <f>SUM(G17,I17,K17,M17,O17)</f>
        <v>0</v>
      </c>
    </row>
    <row r="18" spans="1:17">
      <c r="A18" s="102"/>
      <c r="B18" s="223"/>
      <c r="C18" s="223"/>
      <c r="D18" s="219" t="s">
        <v>149</v>
      </c>
      <c r="E18" s="105" t="s">
        <v>150</v>
      </c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7">
        <f t="shared" ref="P18:Q22" si="6">SUM(F18,H18,J18,L18,N18)</f>
        <v>0</v>
      </c>
      <c r="Q18" s="107">
        <f t="shared" si="6"/>
        <v>0</v>
      </c>
    </row>
    <row r="19" spans="1:17">
      <c r="A19" s="102"/>
      <c r="B19" s="223"/>
      <c r="C19" s="223"/>
      <c r="D19" s="220"/>
      <c r="E19" s="108" t="s">
        <v>151</v>
      </c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10">
        <f t="shared" si="6"/>
        <v>0</v>
      </c>
      <c r="Q19" s="110">
        <f t="shared" si="6"/>
        <v>0</v>
      </c>
    </row>
    <row r="20" spans="1:17">
      <c r="A20" s="102"/>
      <c r="B20" s="223"/>
      <c r="C20" s="223"/>
      <c r="D20" s="221"/>
      <c r="E20" s="111" t="s">
        <v>152</v>
      </c>
      <c r="F20" s="112">
        <f>SUM(F18:F19)</f>
        <v>0</v>
      </c>
      <c r="G20" s="112">
        <f t="shared" ref="G20:O20" si="7">SUM(G18:G19)</f>
        <v>0</v>
      </c>
      <c r="H20" s="112">
        <f t="shared" si="7"/>
        <v>0</v>
      </c>
      <c r="I20" s="112">
        <f t="shared" si="7"/>
        <v>0</v>
      </c>
      <c r="J20" s="112">
        <f t="shared" si="7"/>
        <v>0</v>
      </c>
      <c r="K20" s="112">
        <f t="shared" si="7"/>
        <v>0</v>
      </c>
      <c r="L20" s="112">
        <f t="shared" si="7"/>
        <v>0</v>
      </c>
      <c r="M20" s="112">
        <f t="shared" si="7"/>
        <v>0</v>
      </c>
      <c r="N20" s="112">
        <f t="shared" si="7"/>
        <v>0</v>
      </c>
      <c r="O20" s="112">
        <f t="shared" si="7"/>
        <v>0</v>
      </c>
      <c r="P20" s="112">
        <f t="shared" si="6"/>
        <v>0</v>
      </c>
      <c r="Q20" s="112">
        <f t="shared" si="6"/>
        <v>0</v>
      </c>
    </row>
    <row r="21" spans="1:17">
      <c r="A21" s="102"/>
      <c r="B21" s="223"/>
      <c r="C21" s="223"/>
      <c r="D21" s="217" t="s">
        <v>153</v>
      </c>
      <c r="E21" s="218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4">
        <f t="shared" si="6"/>
        <v>0</v>
      </c>
      <c r="Q21" s="104">
        <f t="shared" si="6"/>
        <v>0</v>
      </c>
    </row>
    <row r="22" spans="1:17">
      <c r="A22" s="102"/>
      <c r="B22" s="223"/>
      <c r="C22" s="223"/>
      <c r="D22" s="206" t="s">
        <v>154</v>
      </c>
      <c r="E22" s="207"/>
      <c r="F22" s="104">
        <f t="shared" ref="F22:O22" si="8">SUM(F17,F20,F21)</f>
        <v>0</v>
      </c>
      <c r="G22" s="104">
        <f t="shared" si="8"/>
        <v>0</v>
      </c>
      <c r="H22" s="104">
        <f t="shared" si="8"/>
        <v>0</v>
      </c>
      <c r="I22" s="104">
        <f t="shared" si="8"/>
        <v>0</v>
      </c>
      <c r="J22" s="104">
        <f t="shared" si="8"/>
        <v>0</v>
      </c>
      <c r="K22" s="104">
        <f t="shared" si="8"/>
        <v>0</v>
      </c>
      <c r="L22" s="104">
        <f t="shared" si="8"/>
        <v>0</v>
      </c>
      <c r="M22" s="104">
        <f t="shared" si="8"/>
        <v>0</v>
      </c>
      <c r="N22" s="104">
        <f t="shared" si="8"/>
        <v>0</v>
      </c>
      <c r="O22" s="104">
        <f t="shared" si="8"/>
        <v>0</v>
      </c>
      <c r="P22" s="104">
        <f t="shared" si="6"/>
        <v>0</v>
      </c>
      <c r="Q22" s="104">
        <f t="shared" si="6"/>
        <v>0</v>
      </c>
    </row>
    <row r="23" spans="1:17">
      <c r="A23" s="102"/>
      <c r="B23" s="224"/>
      <c r="C23" s="208" t="s">
        <v>158</v>
      </c>
      <c r="D23" s="209"/>
      <c r="E23" s="210"/>
      <c r="F23" s="104">
        <f>F16+F22</f>
        <v>0</v>
      </c>
      <c r="G23" s="104">
        <f t="shared" ref="G23:Q23" si="9">G16+G22</f>
        <v>0</v>
      </c>
      <c r="H23" s="104">
        <f t="shared" si="9"/>
        <v>0</v>
      </c>
      <c r="I23" s="104">
        <f t="shared" si="9"/>
        <v>0</v>
      </c>
      <c r="J23" s="104">
        <f t="shared" si="9"/>
        <v>0</v>
      </c>
      <c r="K23" s="104">
        <f t="shared" si="9"/>
        <v>0</v>
      </c>
      <c r="L23" s="104">
        <f t="shared" si="9"/>
        <v>0</v>
      </c>
      <c r="M23" s="104">
        <f t="shared" si="9"/>
        <v>0</v>
      </c>
      <c r="N23" s="104">
        <f t="shared" si="9"/>
        <v>0</v>
      </c>
      <c r="O23" s="104">
        <f t="shared" si="9"/>
        <v>0</v>
      </c>
      <c r="P23" s="104">
        <f t="shared" si="9"/>
        <v>0</v>
      </c>
      <c r="Q23" s="104">
        <f t="shared" si="9"/>
        <v>0</v>
      </c>
    </row>
    <row r="24" spans="1:17">
      <c r="A24" s="102"/>
      <c r="B24" s="211" t="s">
        <v>159</v>
      </c>
      <c r="C24" s="212"/>
      <c r="D24" s="217" t="s">
        <v>148</v>
      </c>
      <c r="E24" s="218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4">
        <f t="shared" si="0"/>
        <v>0</v>
      </c>
      <c r="Q24" s="104">
        <f t="shared" si="0"/>
        <v>0</v>
      </c>
    </row>
    <row r="25" spans="1:17">
      <c r="A25" s="102"/>
      <c r="B25" s="213"/>
      <c r="C25" s="214"/>
      <c r="D25" s="219" t="s">
        <v>149</v>
      </c>
      <c r="E25" s="105" t="s">
        <v>150</v>
      </c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7">
        <f t="shared" si="0"/>
        <v>0</v>
      </c>
      <c r="Q25" s="107">
        <f t="shared" si="0"/>
        <v>0</v>
      </c>
    </row>
    <row r="26" spans="1:17">
      <c r="A26" s="102"/>
      <c r="B26" s="213"/>
      <c r="C26" s="214"/>
      <c r="D26" s="220"/>
      <c r="E26" s="108" t="s">
        <v>151</v>
      </c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10">
        <f t="shared" si="0"/>
        <v>0</v>
      </c>
      <c r="Q26" s="110">
        <f t="shared" si="0"/>
        <v>0</v>
      </c>
    </row>
    <row r="27" spans="1:17">
      <c r="A27" s="102"/>
      <c r="B27" s="213"/>
      <c r="C27" s="214"/>
      <c r="D27" s="221"/>
      <c r="E27" s="111" t="s">
        <v>152</v>
      </c>
      <c r="F27" s="112">
        <f t="shared" ref="F27:O27" si="10">SUM(F25:F26)</f>
        <v>0</v>
      </c>
      <c r="G27" s="112">
        <f t="shared" si="10"/>
        <v>0</v>
      </c>
      <c r="H27" s="112">
        <f t="shared" si="10"/>
        <v>0</v>
      </c>
      <c r="I27" s="112">
        <f t="shared" si="10"/>
        <v>0</v>
      </c>
      <c r="J27" s="112">
        <f t="shared" si="10"/>
        <v>0</v>
      </c>
      <c r="K27" s="112">
        <f t="shared" si="10"/>
        <v>0</v>
      </c>
      <c r="L27" s="112">
        <f t="shared" si="10"/>
        <v>0</v>
      </c>
      <c r="M27" s="112">
        <f t="shared" si="10"/>
        <v>0</v>
      </c>
      <c r="N27" s="112">
        <f t="shared" si="10"/>
        <v>0</v>
      </c>
      <c r="O27" s="112">
        <f t="shared" si="10"/>
        <v>0</v>
      </c>
      <c r="P27" s="112">
        <f t="shared" si="0"/>
        <v>0</v>
      </c>
      <c r="Q27" s="112">
        <f t="shared" si="0"/>
        <v>0</v>
      </c>
    </row>
    <row r="28" spans="1:17">
      <c r="A28" s="102"/>
      <c r="B28" s="213"/>
      <c r="C28" s="214"/>
      <c r="D28" s="217" t="s">
        <v>153</v>
      </c>
      <c r="E28" s="218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4">
        <f t="shared" si="0"/>
        <v>0</v>
      </c>
      <c r="Q28" s="104">
        <f t="shared" si="0"/>
        <v>0</v>
      </c>
    </row>
    <row r="29" spans="1:17">
      <c r="A29" s="102"/>
      <c r="B29" s="215"/>
      <c r="C29" s="216"/>
      <c r="D29" s="217" t="s">
        <v>154</v>
      </c>
      <c r="E29" s="218"/>
      <c r="F29" s="104">
        <f>SUM(F24,F27,F28)</f>
        <v>0</v>
      </c>
      <c r="G29" s="104">
        <f t="shared" ref="G29:O29" si="11">SUM(G24,G27,G28)</f>
        <v>0</v>
      </c>
      <c r="H29" s="104">
        <f t="shared" si="11"/>
        <v>0</v>
      </c>
      <c r="I29" s="104">
        <f t="shared" si="11"/>
        <v>0</v>
      </c>
      <c r="J29" s="104">
        <f t="shared" si="11"/>
        <v>0</v>
      </c>
      <c r="K29" s="104">
        <f t="shared" si="11"/>
        <v>0</v>
      </c>
      <c r="L29" s="104">
        <f t="shared" si="11"/>
        <v>0</v>
      </c>
      <c r="M29" s="104">
        <f t="shared" si="11"/>
        <v>0</v>
      </c>
      <c r="N29" s="104">
        <f t="shared" si="11"/>
        <v>0</v>
      </c>
      <c r="O29" s="104">
        <f t="shared" si="11"/>
        <v>0</v>
      </c>
      <c r="P29" s="104">
        <f t="shared" si="0"/>
        <v>0</v>
      </c>
      <c r="Q29" s="104">
        <f t="shared" si="0"/>
        <v>0</v>
      </c>
    </row>
    <row r="30" spans="1:17">
      <c r="A30" s="102"/>
      <c r="B30" s="203" t="s">
        <v>144</v>
      </c>
      <c r="C30" s="204"/>
      <c r="D30" s="204"/>
      <c r="E30" s="205"/>
      <c r="F30" s="104">
        <f>SUM(F10,F23,F29)</f>
        <v>0</v>
      </c>
      <c r="G30" s="104">
        <f t="shared" ref="G30:O30" si="12">SUM(G10,G23,G29)</f>
        <v>0</v>
      </c>
      <c r="H30" s="104">
        <f t="shared" si="12"/>
        <v>0</v>
      </c>
      <c r="I30" s="104">
        <f t="shared" si="12"/>
        <v>0</v>
      </c>
      <c r="J30" s="104">
        <f t="shared" si="12"/>
        <v>0</v>
      </c>
      <c r="K30" s="104">
        <f t="shared" si="12"/>
        <v>0</v>
      </c>
      <c r="L30" s="104">
        <f t="shared" si="12"/>
        <v>0</v>
      </c>
      <c r="M30" s="104">
        <f t="shared" si="12"/>
        <v>0</v>
      </c>
      <c r="N30" s="104">
        <f t="shared" si="12"/>
        <v>0</v>
      </c>
      <c r="O30" s="104">
        <f t="shared" si="12"/>
        <v>0</v>
      </c>
      <c r="P30" s="104">
        <f>SUM(F30,H30,J30,L30,N30)</f>
        <v>0</v>
      </c>
      <c r="Q30" s="104">
        <f>SUM(G30,I30,K30,M30,O30)</f>
        <v>0</v>
      </c>
    </row>
    <row r="31" spans="1:17" ht="18">
      <c r="A31" s="9"/>
      <c r="B31" s="9"/>
      <c r="C31" s="113"/>
      <c r="D31" s="113"/>
      <c r="E31" s="113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5"/>
    </row>
    <row r="32" spans="1:17">
      <c r="A32" s="116" t="s">
        <v>0</v>
      </c>
      <c r="B32" s="116"/>
      <c r="C32" s="116"/>
    </row>
    <row r="33" spans="1:13">
      <c r="A33" s="117" t="s">
        <v>160</v>
      </c>
      <c r="B33" s="117"/>
      <c r="C33" s="118"/>
      <c r="D33" s="8"/>
      <c r="E33" s="8"/>
      <c r="F33" s="8"/>
      <c r="G33" s="8"/>
      <c r="H33" s="8"/>
      <c r="I33" s="8"/>
    </row>
    <row r="34" spans="1:13">
      <c r="A34" s="117" t="s">
        <v>161</v>
      </c>
      <c r="B34" s="117"/>
      <c r="C34" s="118"/>
      <c r="D34" s="8"/>
      <c r="E34" s="8"/>
      <c r="F34" s="8"/>
      <c r="G34" s="8"/>
      <c r="H34" s="8"/>
      <c r="I34" s="8"/>
    </row>
    <row r="35" spans="1:13">
      <c r="A35" s="318" t="s">
        <v>206</v>
      </c>
      <c r="B35" s="281"/>
      <c r="C35" s="286"/>
      <c r="D35" s="92"/>
      <c r="E35" s="92"/>
      <c r="F35" s="92"/>
      <c r="G35" s="92"/>
      <c r="H35" s="92"/>
      <c r="I35" s="92"/>
      <c r="J35" s="94"/>
      <c r="K35" s="94"/>
      <c r="L35" s="94"/>
      <c r="M35" s="94"/>
    </row>
    <row r="36" spans="1:13">
      <c r="A36" s="318" t="s">
        <v>207</v>
      </c>
      <c r="B36" s="281"/>
      <c r="C36" s="286"/>
      <c r="D36" s="92"/>
      <c r="E36" s="92"/>
      <c r="F36" s="92"/>
      <c r="G36" s="92"/>
      <c r="H36" s="92"/>
      <c r="I36" s="92"/>
      <c r="J36" s="94"/>
      <c r="K36" s="94"/>
      <c r="L36" s="94"/>
      <c r="M36" s="94"/>
    </row>
    <row r="37" spans="1:13">
      <c r="A37" s="116" t="s">
        <v>162</v>
      </c>
      <c r="B37" s="116"/>
      <c r="C37" s="8"/>
      <c r="D37" s="8"/>
      <c r="E37" s="8"/>
      <c r="F37" s="8"/>
      <c r="G37" s="8"/>
      <c r="H37" s="8"/>
      <c r="I37" s="8"/>
    </row>
  </sheetData>
  <mergeCells count="30">
    <mergeCell ref="D18:D20"/>
    <mergeCell ref="D21:E21"/>
    <mergeCell ref="P3:Q3"/>
    <mergeCell ref="B5:C10"/>
    <mergeCell ref="D5:E5"/>
    <mergeCell ref="D6:D8"/>
    <mergeCell ref="D9:E9"/>
    <mergeCell ref="D10:E10"/>
    <mergeCell ref="A3:E4"/>
    <mergeCell ref="F3:G3"/>
    <mergeCell ref="H3:I3"/>
    <mergeCell ref="J3:K3"/>
    <mergeCell ref="L3:M3"/>
    <mergeCell ref="N3:O3"/>
    <mergeCell ref="B30:E30"/>
    <mergeCell ref="D22:E22"/>
    <mergeCell ref="C23:E23"/>
    <mergeCell ref="B24:C29"/>
    <mergeCell ref="D24:E24"/>
    <mergeCell ref="D25:D27"/>
    <mergeCell ref="D28:E28"/>
    <mergeCell ref="D29:E29"/>
    <mergeCell ref="B11:B23"/>
    <mergeCell ref="C11:C16"/>
    <mergeCell ref="D11:E11"/>
    <mergeCell ref="D12:D14"/>
    <mergeCell ref="D15:E15"/>
    <mergeCell ref="D16:E16"/>
    <mergeCell ref="C17:C22"/>
    <mergeCell ref="D17:E17"/>
  </mergeCells>
  <phoneticPr fontId="78" type="noConversion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F7CEF-DA40-4EAC-B906-CB3412EF6EB6}">
  <dimension ref="A1:I20"/>
  <sheetViews>
    <sheetView zoomScaleNormal="100" workbookViewId="0">
      <selection activeCell="I22" sqref="I22"/>
    </sheetView>
  </sheetViews>
  <sheetFormatPr defaultRowHeight="16.5"/>
  <cols>
    <col min="1" max="1" width="4.88671875" style="82" customWidth="1"/>
    <col min="2" max="2" width="6.44140625" style="82" customWidth="1"/>
    <col min="3" max="3" width="23" style="82" customWidth="1"/>
    <col min="4" max="7" width="14.33203125" style="82" customWidth="1"/>
    <col min="8" max="9" width="15.6640625" style="82" customWidth="1"/>
    <col min="10" max="16384" width="8.88671875" style="82"/>
  </cols>
  <sheetData>
    <row r="1" spans="1:9" ht="26.25">
      <c r="A1" s="274" t="s">
        <v>222</v>
      </c>
      <c r="G1" s="97"/>
    </row>
    <row r="2" spans="1:9" ht="20.25">
      <c r="A2" s="5"/>
      <c r="G2" s="119" t="s">
        <v>223</v>
      </c>
    </row>
    <row r="3" spans="1:9" ht="20.25">
      <c r="A3" s="5"/>
      <c r="G3" s="119"/>
    </row>
    <row r="4" spans="1:9">
      <c r="A4" s="236" t="s">
        <v>224</v>
      </c>
      <c r="B4" s="236"/>
      <c r="C4" s="236"/>
      <c r="D4" s="234" t="s">
        <v>225</v>
      </c>
      <c r="E4" s="235"/>
      <c r="F4" s="235"/>
      <c r="G4" s="235"/>
      <c r="H4" s="236" t="s">
        <v>226</v>
      </c>
      <c r="I4" s="236"/>
    </row>
    <row r="5" spans="1:9">
      <c r="A5" s="236"/>
      <c r="B5" s="236"/>
      <c r="C5" s="236"/>
      <c r="D5" s="234" t="s">
        <v>227</v>
      </c>
      <c r="E5" s="235"/>
      <c r="F5" s="235"/>
      <c r="G5" s="235"/>
      <c r="H5" s="236" t="s">
        <v>228</v>
      </c>
      <c r="I5" s="236"/>
    </row>
    <row r="6" spans="1:9">
      <c r="A6" s="236"/>
      <c r="B6" s="236"/>
      <c r="C6" s="236"/>
      <c r="D6" s="142" t="s">
        <v>229</v>
      </c>
      <c r="E6" s="166" t="s">
        <v>230</v>
      </c>
      <c r="F6" s="166" t="s">
        <v>231</v>
      </c>
      <c r="G6" s="166" t="s">
        <v>232</v>
      </c>
      <c r="H6" s="166" t="s">
        <v>145</v>
      </c>
      <c r="I6" s="166" t="s">
        <v>232</v>
      </c>
    </row>
    <row r="7" spans="1:9">
      <c r="A7" s="295" t="s">
        <v>233</v>
      </c>
      <c r="B7" s="206" t="s">
        <v>234</v>
      </c>
      <c r="C7" s="207"/>
      <c r="D7" s="144"/>
      <c r="E7" s="145"/>
      <c r="F7" s="145"/>
      <c r="G7" s="145"/>
      <c r="H7" s="146"/>
      <c r="I7" s="146"/>
    </row>
    <row r="8" spans="1:9" s="94" customFormat="1">
      <c r="A8" s="295" t="s">
        <v>235</v>
      </c>
      <c r="B8" s="322"/>
      <c r="C8" s="321" t="s">
        <v>236</v>
      </c>
      <c r="D8" s="149"/>
      <c r="E8" s="150"/>
      <c r="F8" s="150"/>
      <c r="G8" s="150"/>
      <c r="H8" s="150"/>
      <c r="I8" s="150"/>
    </row>
    <row r="9" spans="1:9">
      <c r="A9" s="295" t="s">
        <v>237</v>
      </c>
      <c r="B9" s="217" t="s">
        <v>238</v>
      </c>
      <c r="C9" s="218"/>
      <c r="D9" s="10"/>
      <c r="E9" s="10"/>
      <c r="F9" s="10"/>
      <c r="G9" s="10"/>
      <c r="H9" s="103"/>
      <c r="I9" s="103"/>
    </row>
    <row r="10" spans="1:9">
      <c r="A10" s="295" t="s">
        <v>239</v>
      </c>
      <c r="B10" s="217" t="s">
        <v>240</v>
      </c>
      <c r="C10" s="218"/>
      <c r="D10" s="10"/>
      <c r="E10" s="10"/>
      <c r="F10" s="10"/>
      <c r="G10" s="10"/>
      <c r="H10" s="103"/>
      <c r="I10" s="103"/>
    </row>
    <row r="11" spans="1:9">
      <c r="A11" s="295" t="s">
        <v>241</v>
      </c>
      <c r="B11" s="217" t="s">
        <v>242</v>
      </c>
      <c r="C11" s="218"/>
      <c r="D11" s="10"/>
      <c r="E11" s="10"/>
      <c r="F11" s="10"/>
      <c r="G11" s="10"/>
      <c r="H11" s="103"/>
      <c r="I11" s="103"/>
    </row>
    <row r="12" spans="1:9">
      <c r="A12" s="320" t="s">
        <v>15</v>
      </c>
      <c r="B12" s="237" t="s">
        <v>243</v>
      </c>
      <c r="C12" s="238"/>
      <c r="D12" s="152">
        <f>D7+D9+D10+D11</f>
        <v>0</v>
      </c>
      <c r="E12" s="152">
        <f>E7+E9+E10+E11</f>
        <v>0</v>
      </c>
      <c r="F12" s="152">
        <f>F7+F9+F10+F11</f>
        <v>0</v>
      </c>
      <c r="G12" s="152">
        <f>G7+G9+G10+G11</f>
        <v>0</v>
      </c>
      <c r="H12" s="153">
        <f>H7+H9+H10+H11</f>
        <v>0</v>
      </c>
      <c r="I12" s="153">
        <f>I7+I9+I10+I11</f>
        <v>0</v>
      </c>
    </row>
    <row r="13" spans="1:9">
      <c r="A13" s="285"/>
      <c r="B13" s="319"/>
      <c r="C13" s="319"/>
      <c r="D13" s="290"/>
      <c r="E13" s="290"/>
      <c r="F13" s="290"/>
      <c r="G13" s="290"/>
    </row>
    <row r="14" spans="1:9">
      <c r="A14" s="116" t="s">
        <v>0</v>
      </c>
      <c r="B14" s="8"/>
      <c r="C14" s="8"/>
      <c r="D14" s="8"/>
      <c r="E14" s="8"/>
      <c r="F14" s="8"/>
      <c r="G14" s="8"/>
    </row>
    <row r="15" spans="1:9">
      <c r="A15" s="92" t="s">
        <v>244</v>
      </c>
      <c r="B15" s="92"/>
      <c r="C15" s="92"/>
      <c r="D15" s="92"/>
      <c r="E15" s="92"/>
      <c r="F15" s="92"/>
      <c r="G15" s="92"/>
    </row>
    <row r="16" spans="1:9">
      <c r="A16" s="8" t="s">
        <v>245</v>
      </c>
      <c r="B16" s="8"/>
      <c r="C16" s="8"/>
      <c r="D16" s="8"/>
      <c r="E16" s="8"/>
      <c r="F16" s="8"/>
      <c r="G16" s="8"/>
    </row>
    <row r="17" spans="1:7">
      <c r="A17" s="8" t="s">
        <v>246</v>
      </c>
      <c r="B17" s="8"/>
      <c r="C17" s="8"/>
      <c r="D17" s="8"/>
      <c r="E17" s="8"/>
      <c r="F17" s="8"/>
      <c r="G17" s="8"/>
    </row>
    <row r="18" spans="1:7">
      <c r="A18" s="8" t="s">
        <v>247</v>
      </c>
      <c r="B18" s="8"/>
      <c r="C18" s="8"/>
      <c r="D18" s="8"/>
      <c r="E18" s="8"/>
      <c r="F18" s="8"/>
      <c r="G18" s="8"/>
    </row>
    <row r="19" spans="1:7">
      <c r="A19" s="8" t="s">
        <v>283</v>
      </c>
      <c r="B19" s="8"/>
      <c r="C19" s="8"/>
      <c r="D19" s="8"/>
      <c r="E19" s="8"/>
      <c r="F19" s="8"/>
      <c r="G19" s="8"/>
    </row>
    <row r="20" spans="1:7">
      <c r="A20" s="116" t="s">
        <v>221</v>
      </c>
    </row>
  </sheetData>
  <mergeCells count="10">
    <mergeCell ref="B10:C10"/>
    <mergeCell ref="B11:C11"/>
    <mergeCell ref="B12:C12"/>
    <mergeCell ref="A4:C6"/>
    <mergeCell ref="D4:G4"/>
    <mergeCell ref="H4:I4"/>
    <mergeCell ref="D5:G5"/>
    <mergeCell ref="H5:I5"/>
    <mergeCell ref="B7:C7"/>
    <mergeCell ref="B9:C9"/>
  </mergeCells>
  <phoneticPr fontId="78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C5E61-D722-4F54-9C7D-DF4B1430BC78}">
  <sheetPr>
    <tabColor rgb="FFFFFF00"/>
  </sheetPr>
  <dimension ref="A1:M20"/>
  <sheetViews>
    <sheetView zoomScaleNormal="100" workbookViewId="0">
      <selection activeCell="J20" sqref="J20"/>
    </sheetView>
  </sheetViews>
  <sheetFormatPr defaultColWidth="8.88671875" defaultRowHeight="16.5"/>
  <cols>
    <col min="1" max="1" width="4.88671875" style="82" customWidth="1"/>
    <col min="2" max="2" width="6.44140625" style="82" customWidth="1"/>
    <col min="3" max="3" width="30.33203125" style="82" customWidth="1"/>
    <col min="4" max="7" width="14.33203125" style="82" customWidth="1"/>
    <col min="8" max="9" width="15.6640625" style="82" customWidth="1"/>
    <col min="10" max="16384" width="8.88671875" style="82"/>
  </cols>
  <sheetData>
    <row r="1" spans="1:9" ht="26.25">
      <c r="A1" s="95" t="s">
        <v>222</v>
      </c>
      <c r="G1" s="97"/>
    </row>
    <row r="2" spans="1:9" ht="20.25">
      <c r="A2" s="98"/>
      <c r="G2" s="119" t="s">
        <v>223</v>
      </c>
    </row>
    <row r="3" spans="1:9" ht="20.25">
      <c r="A3" s="98"/>
      <c r="G3" s="119"/>
    </row>
    <row r="4" spans="1:9">
      <c r="A4" s="236" t="s">
        <v>224</v>
      </c>
      <c r="B4" s="236"/>
      <c r="C4" s="236"/>
      <c r="D4" s="234" t="s">
        <v>225</v>
      </c>
      <c r="E4" s="235"/>
      <c r="F4" s="235"/>
      <c r="G4" s="235"/>
      <c r="H4" s="236" t="s">
        <v>226</v>
      </c>
      <c r="I4" s="236"/>
    </row>
    <row r="5" spans="1:9">
      <c r="A5" s="236"/>
      <c r="B5" s="236"/>
      <c r="C5" s="236"/>
      <c r="D5" s="234" t="s">
        <v>227</v>
      </c>
      <c r="E5" s="235"/>
      <c r="F5" s="235"/>
      <c r="G5" s="235"/>
      <c r="H5" s="236" t="s">
        <v>228</v>
      </c>
      <c r="I5" s="236"/>
    </row>
    <row r="6" spans="1:9">
      <c r="A6" s="236"/>
      <c r="B6" s="236"/>
      <c r="C6" s="236"/>
      <c r="D6" s="142" t="s">
        <v>229</v>
      </c>
      <c r="E6" s="143" t="s">
        <v>230</v>
      </c>
      <c r="F6" s="143" t="s">
        <v>231</v>
      </c>
      <c r="G6" s="143" t="s">
        <v>232</v>
      </c>
      <c r="H6" s="143" t="s">
        <v>145</v>
      </c>
      <c r="I6" s="143" t="s">
        <v>232</v>
      </c>
    </row>
    <row r="7" spans="1:9">
      <c r="A7" s="102" t="s">
        <v>233</v>
      </c>
      <c r="B7" s="206" t="s">
        <v>234</v>
      </c>
      <c r="C7" s="207"/>
      <c r="D7" s="144"/>
      <c r="E7" s="145"/>
      <c r="F7" s="145"/>
      <c r="G7" s="145"/>
      <c r="H7" s="146"/>
      <c r="I7" s="146"/>
    </row>
    <row r="8" spans="1:9">
      <c r="A8" s="102" t="s">
        <v>235</v>
      </c>
      <c r="B8" s="147"/>
      <c r="C8" s="148" t="s">
        <v>236</v>
      </c>
      <c r="D8" s="149"/>
      <c r="E8" s="150"/>
      <c r="F8" s="150"/>
      <c r="G8" s="150"/>
      <c r="H8" s="150"/>
      <c r="I8" s="150"/>
    </row>
    <row r="9" spans="1:9">
      <c r="A9" s="102" t="s">
        <v>237</v>
      </c>
      <c r="B9" s="217" t="s">
        <v>238</v>
      </c>
      <c r="C9" s="218"/>
      <c r="D9" s="10"/>
      <c r="E9" s="10"/>
      <c r="F9" s="10"/>
      <c r="G9" s="10"/>
      <c r="H9" s="103"/>
      <c r="I9" s="103"/>
    </row>
    <row r="10" spans="1:9">
      <c r="A10" s="102" t="s">
        <v>239</v>
      </c>
      <c r="B10" s="217" t="s">
        <v>240</v>
      </c>
      <c r="C10" s="218"/>
      <c r="D10" s="10"/>
      <c r="E10" s="10"/>
      <c r="F10" s="10"/>
      <c r="G10" s="10"/>
      <c r="H10" s="103"/>
      <c r="I10" s="103"/>
    </row>
    <row r="11" spans="1:9">
      <c r="A11" s="102" t="s">
        <v>241</v>
      </c>
      <c r="B11" s="217" t="s">
        <v>242</v>
      </c>
      <c r="C11" s="218"/>
      <c r="D11" s="10"/>
      <c r="E11" s="10"/>
      <c r="F11" s="10"/>
      <c r="G11" s="10"/>
      <c r="H11" s="103"/>
      <c r="I11" s="103"/>
    </row>
    <row r="12" spans="1:9">
      <c r="A12" s="151" t="s">
        <v>15</v>
      </c>
      <c r="B12" s="237" t="s">
        <v>243</v>
      </c>
      <c r="C12" s="238"/>
      <c r="D12" s="152">
        <f>D7+D9+D10+D11</f>
        <v>0</v>
      </c>
      <c r="E12" s="152">
        <f t="shared" ref="E12:I12" si="0">E7+E9+E10+E11</f>
        <v>0</v>
      </c>
      <c r="F12" s="152">
        <f t="shared" si="0"/>
        <v>0</v>
      </c>
      <c r="G12" s="152">
        <f t="shared" si="0"/>
        <v>0</v>
      </c>
      <c r="H12" s="153">
        <f t="shared" si="0"/>
        <v>0</v>
      </c>
      <c r="I12" s="153">
        <f t="shared" si="0"/>
        <v>0</v>
      </c>
    </row>
    <row r="13" spans="1:9">
      <c r="A13" s="9"/>
      <c r="B13" s="9"/>
      <c r="C13" s="9"/>
      <c r="D13" s="114"/>
      <c r="E13" s="114"/>
      <c r="F13" s="114"/>
      <c r="G13" s="114"/>
    </row>
    <row r="14" spans="1:9">
      <c r="A14" s="116" t="s">
        <v>0</v>
      </c>
      <c r="B14" s="8"/>
      <c r="C14" s="8"/>
      <c r="D14" s="8"/>
      <c r="E14" s="8"/>
      <c r="F14" s="8"/>
      <c r="G14" s="8"/>
    </row>
    <row r="15" spans="1:9">
      <c r="A15" s="8" t="s">
        <v>244</v>
      </c>
      <c r="B15" s="8"/>
      <c r="C15" s="8"/>
      <c r="D15" s="8"/>
      <c r="E15" s="8"/>
      <c r="F15" s="8"/>
      <c r="G15" s="8"/>
    </row>
    <row r="16" spans="1:9">
      <c r="A16" s="8" t="s">
        <v>245</v>
      </c>
      <c r="B16" s="8"/>
      <c r="C16" s="8"/>
      <c r="D16" s="8"/>
      <c r="E16" s="8"/>
      <c r="F16" s="8"/>
      <c r="G16" s="8"/>
    </row>
    <row r="17" spans="1:13">
      <c r="A17" s="8" t="s">
        <v>246</v>
      </c>
      <c r="B17" s="8"/>
      <c r="C17" s="8"/>
      <c r="D17" s="8"/>
      <c r="E17" s="8"/>
      <c r="F17" s="8"/>
      <c r="G17" s="8"/>
    </row>
    <row r="18" spans="1:13">
      <c r="A18" s="8" t="s">
        <v>247</v>
      </c>
      <c r="B18" s="8"/>
      <c r="C18" s="8"/>
      <c r="D18" s="8"/>
      <c r="E18" s="8"/>
      <c r="F18" s="8"/>
      <c r="G18" s="8"/>
    </row>
    <row r="19" spans="1:13">
      <c r="A19" s="92" t="s">
        <v>253</v>
      </c>
      <c r="B19" s="92"/>
      <c r="C19" s="92"/>
      <c r="D19" s="92"/>
      <c r="E19" s="92"/>
      <c r="F19" s="92"/>
      <c r="G19" s="92"/>
      <c r="H19" s="94"/>
      <c r="I19" s="94"/>
      <c r="J19" s="94"/>
      <c r="K19" s="94"/>
      <c r="L19" s="94"/>
      <c r="M19" s="94"/>
    </row>
    <row r="20" spans="1:13">
      <c r="A20" s="116" t="s">
        <v>221</v>
      </c>
    </row>
  </sheetData>
  <mergeCells count="10">
    <mergeCell ref="B9:C9"/>
    <mergeCell ref="B10:C10"/>
    <mergeCell ref="B11:C11"/>
    <mergeCell ref="B12:C12"/>
    <mergeCell ref="A4:C6"/>
    <mergeCell ref="D4:G4"/>
    <mergeCell ref="H4:I4"/>
    <mergeCell ref="D5:G5"/>
    <mergeCell ref="H5:I5"/>
    <mergeCell ref="B7:C7"/>
  </mergeCells>
  <phoneticPr fontId="78" type="noConversion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61375-F222-473F-A79C-A654FD7A52DF}">
  <dimension ref="A1:AK45"/>
  <sheetViews>
    <sheetView zoomScale="70" zoomScaleNormal="70" workbookViewId="0">
      <selection activeCell="J16" sqref="J16"/>
    </sheetView>
  </sheetViews>
  <sheetFormatPr defaultRowHeight="16.5"/>
  <cols>
    <col min="1" max="2" width="4.44140625" style="82" customWidth="1"/>
    <col min="3" max="3" width="7" style="82" customWidth="1"/>
    <col min="4" max="4" width="4.21875" style="82" customWidth="1"/>
    <col min="5" max="5" width="11.6640625" style="82" customWidth="1"/>
    <col min="6" max="37" width="8.109375" style="82" customWidth="1"/>
    <col min="38" max="16384" width="8.88671875" style="82"/>
  </cols>
  <sheetData>
    <row r="1" spans="1:37" ht="26.25">
      <c r="A1" s="274" t="s">
        <v>248</v>
      </c>
      <c r="B1" s="274"/>
      <c r="C1" s="96"/>
      <c r="S1" s="97"/>
      <c r="T1" s="97"/>
      <c r="U1" s="97"/>
      <c r="V1" s="97"/>
      <c r="W1" s="97"/>
      <c r="X1" s="97"/>
      <c r="Y1" s="97"/>
    </row>
    <row r="2" spans="1:37" ht="20.25">
      <c r="A2" s="5"/>
      <c r="B2" s="5"/>
      <c r="C2" s="96"/>
      <c r="AK2" s="99" t="s">
        <v>138</v>
      </c>
    </row>
    <row r="3" spans="1:37" ht="31.5" customHeight="1">
      <c r="A3" s="226" t="s">
        <v>12</v>
      </c>
      <c r="B3" s="227"/>
      <c r="C3" s="228"/>
      <c r="D3" s="228"/>
      <c r="E3" s="229"/>
      <c r="F3" s="243" t="s">
        <v>292</v>
      </c>
      <c r="G3" s="243"/>
      <c r="H3" s="242" t="s">
        <v>291</v>
      </c>
      <c r="I3" s="243"/>
      <c r="J3" s="242" t="s">
        <v>290</v>
      </c>
      <c r="K3" s="243"/>
      <c r="L3" s="242" t="s">
        <v>289</v>
      </c>
      <c r="M3" s="243"/>
      <c r="N3" s="242" t="s">
        <v>288</v>
      </c>
      <c r="O3" s="243"/>
      <c r="P3" s="242" t="s">
        <v>287</v>
      </c>
      <c r="Q3" s="243"/>
      <c r="R3" s="242" t="s">
        <v>286</v>
      </c>
      <c r="S3" s="243"/>
      <c r="T3" s="242" t="s">
        <v>285</v>
      </c>
      <c r="U3" s="243"/>
      <c r="V3" s="242" t="s">
        <v>284</v>
      </c>
      <c r="W3" s="243"/>
      <c r="X3" s="242" t="s">
        <v>209</v>
      </c>
      <c r="Y3" s="243"/>
      <c r="Z3" s="242" t="s">
        <v>210</v>
      </c>
      <c r="AA3" s="243"/>
      <c r="AB3" s="242" t="s">
        <v>211</v>
      </c>
      <c r="AC3" s="243"/>
      <c r="AD3" s="242" t="s">
        <v>212</v>
      </c>
      <c r="AE3" s="243"/>
      <c r="AF3" s="242" t="s">
        <v>213</v>
      </c>
      <c r="AG3" s="243"/>
      <c r="AH3" s="242" t="s">
        <v>214</v>
      </c>
      <c r="AI3" s="244"/>
      <c r="AJ3" s="243" t="s">
        <v>144</v>
      </c>
      <c r="AK3" s="243"/>
    </row>
    <row r="4" spans="1:37">
      <c r="A4" s="230"/>
      <c r="B4" s="231"/>
      <c r="C4" s="231"/>
      <c r="D4" s="231"/>
      <c r="E4" s="232"/>
      <c r="F4" s="168" t="s">
        <v>145</v>
      </c>
      <c r="G4" s="169" t="s">
        <v>146</v>
      </c>
      <c r="H4" s="168" t="s">
        <v>145</v>
      </c>
      <c r="I4" s="169" t="s">
        <v>146</v>
      </c>
      <c r="J4" s="168" t="s">
        <v>145</v>
      </c>
      <c r="K4" s="169" t="s">
        <v>146</v>
      </c>
      <c r="L4" s="168" t="s">
        <v>145</v>
      </c>
      <c r="M4" s="169" t="s">
        <v>146</v>
      </c>
      <c r="N4" s="168" t="s">
        <v>145</v>
      </c>
      <c r="O4" s="169" t="s">
        <v>146</v>
      </c>
      <c r="P4" s="168" t="s">
        <v>145</v>
      </c>
      <c r="Q4" s="169" t="s">
        <v>146</v>
      </c>
      <c r="R4" s="168" t="s">
        <v>145</v>
      </c>
      <c r="S4" s="169" t="s">
        <v>146</v>
      </c>
      <c r="T4" s="168" t="s">
        <v>145</v>
      </c>
      <c r="U4" s="169" t="s">
        <v>146</v>
      </c>
      <c r="V4" s="168" t="s">
        <v>145</v>
      </c>
      <c r="W4" s="169" t="s">
        <v>146</v>
      </c>
      <c r="X4" s="168" t="s">
        <v>145</v>
      </c>
      <c r="Y4" s="169" t="s">
        <v>146</v>
      </c>
      <c r="Z4" s="168" t="s">
        <v>145</v>
      </c>
      <c r="AA4" s="169" t="s">
        <v>146</v>
      </c>
      <c r="AB4" s="168" t="s">
        <v>145</v>
      </c>
      <c r="AC4" s="169" t="s">
        <v>146</v>
      </c>
      <c r="AD4" s="168" t="s">
        <v>145</v>
      </c>
      <c r="AE4" s="169" t="s">
        <v>146</v>
      </c>
      <c r="AF4" s="168" t="s">
        <v>145</v>
      </c>
      <c r="AG4" s="169" t="s">
        <v>146</v>
      </c>
      <c r="AH4" s="168" t="s">
        <v>145</v>
      </c>
      <c r="AI4" s="167" t="s">
        <v>146</v>
      </c>
      <c r="AJ4" s="168" t="s">
        <v>145</v>
      </c>
      <c r="AK4" s="169" t="s">
        <v>146</v>
      </c>
    </row>
    <row r="5" spans="1:37">
      <c r="A5" s="295"/>
      <c r="B5" s="211" t="s">
        <v>147</v>
      </c>
      <c r="C5" s="212"/>
      <c r="D5" s="217" t="s">
        <v>148</v>
      </c>
      <c r="E5" s="218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34">
        <f>SUM(F5,H5,J5,L5,N5,P5,R5,T5,V5,X5,Z5,AB5,AD5,AF5,AH5)</f>
        <v>0</v>
      </c>
      <c r="AK5" s="134">
        <f>SUM(G5,I5,K5,M5,O5,Q5,S5,U5,W5,Y5,AA5,AC5,AE5,AG5,AI5)</f>
        <v>0</v>
      </c>
    </row>
    <row r="6" spans="1:37">
      <c r="A6" s="295"/>
      <c r="B6" s="213"/>
      <c r="C6" s="214"/>
      <c r="D6" s="219" t="s">
        <v>149</v>
      </c>
      <c r="E6" s="105" t="s">
        <v>150</v>
      </c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330"/>
      <c r="AJ6" s="134">
        <f>SUM(F6,H6,J6,L6,N6,P6,R6,T6,V6,X6,Z6,AB6,AD6,AF6,AH6)</f>
        <v>0</v>
      </c>
      <c r="AK6" s="134">
        <f>SUM(G6,I6,K6,M6,O6,Q6,S6,U6,W6,Y6,AA6,AC6,AE6,AG6,AI6)</f>
        <v>0</v>
      </c>
    </row>
    <row r="7" spans="1:37">
      <c r="A7" s="295"/>
      <c r="B7" s="213"/>
      <c r="C7" s="214"/>
      <c r="D7" s="220"/>
      <c r="E7" s="108" t="s">
        <v>151</v>
      </c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329"/>
      <c r="AJ7" s="134">
        <f>SUM(F7,H7,J7,L7,N7,P7,R7,T7,V7,X7,Z7,AB7,AD7,AF7,AH7)</f>
        <v>0</v>
      </c>
      <c r="AK7" s="134">
        <f>SUM(G7,I7,K7,M7,O7,Q7,S7,U7,W7,Y7,AA7,AC7,AE7,AG7,AI7)</f>
        <v>0</v>
      </c>
    </row>
    <row r="8" spans="1:37">
      <c r="A8" s="295"/>
      <c r="B8" s="213"/>
      <c r="C8" s="214"/>
      <c r="D8" s="221"/>
      <c r="E8" s="111" t="s">
        <v>152</v>
      </c>
      <c r="F8" s="137">
        <f>SUM(F6:F7)</f>
        <v>0</v>
      </c>
      <c r="G8" s="137">
        <f>SUM(G6:G7)</f>
        <v>0</v>
      </c>
      <c r="H8" s="137">
        <f>SUM(H6:H7)</f>
        <v>0</v>
      </c>
      <c r="I8" s="137">
        <f>SUM(I6:I7)</f>
        <v>0</v>
      </c>
      <c r="J8" s="137">
        <f>SUM(J6:J7)</f>
        <v>0</v>
      </c>
      <c r="K8" s="137">
        <f>SUM(K6:K7)</f>
        <v>0</v>
      </c>
      <c r="L8" s="137">
        <f>SUM(L6:L7)</f>
        <v>0</v>
      </c>
      <c r="M8" s="137">
        <f>SUM(M6:M7)</f>
        <v>0</v>
      </c>
      <c r="N8" s="137">
        <f>SUM(N6:N7)</f>
        <v>0</v>
      </c>
      <c r="O8" s="137">
        <f>SUM(O6:O7)</f>
        <v>0</v>
      </c>
      <c r="P8" s="137">
        <f>SUM(P6:P7)</f>
        <v>0</v>
      </c>
      <c r="Q8" s="137">
        <f>SUM(Q6:Q7)</f>
        <v>0</v>
      </c>
      <c r="R8" s="137">
        <f>SUM(R6:R7)</f>
        <v>0</v>
      </c>
      <c r="S8" s="137">
        <f>SUM(S6:S7)</f>
        <v>0</v>
      </c>
      <c r="T8" s="137">
        <f>SUM(T6:T7)</f>
        <v>0</v>
      </c>
      <c r="U8" s="137">
        <f>SUM(U6:U7)</f>
        <v>0</v>
      </c>
      <c r="V8" s="137">
        <f>SUM(V6:V7)</f>
        <v>0</v>
      </c>
      <c r="W8" s="137">
        <f>SUM(W6:W7)</f>
        <v>0</v>
      </c>
      <c r="X8" s="137">
        <f>SUM(X6:X7)</f>
        <v>0</v>
      </c>
      <c r="Y8" s="137">
        <f>SUM(Y6:Y7)</f>
        <v>0</v>
      </c>
      <c r="Z8" s="137">
        <f>SUM(Z6:Z7)</f>
        <v>0</v>
      </c>
      <c r="AA8" s="137">
        <f>SUM(AA6:AA7)</f>
        <v>0</v>
      </c>
      <c r="AB8" s="137">
        <f>SUM(AB6:AB7)</f>
        <v>0</v>
      </c>
      <c r="AC8" s="137">
        <f>SUM(AC6:AC7)</f>
        <v>0</v>
      </c>
      <c r="AD8" s="137">
        <f>SUM(AD6:AD7)</f>
        <v>0</v>
      </c>
      <c r="AE8" s="137">
        <f>SUM(AE6:AE7)</f>
        <v>0</v>
      </c>
      <c r="AF8" s="137">
        <f>SUM(AF6:AF7)</f>
        <v>0</v>
      </c>
      <c r="AG8" s="137">
        <f>SUM(AG6:AG7)</f>
        <v>0</v>
      </c>
      <c r="AH8" s="137">
        <f>SUM(AH6:AH7)</f>
        <v>0</v>
      </c>
      <c r="AI8" s="137">
        <f>SUM(AI6:AI7)</f>
        <v>0</v>
      </c>
      <c r="AJ8" s="134">
        <f>SUM(F8,H8,J8,L8,N8,P8,R8,T8,V8,X8,Z8,AB8,AD8,AF8,AH8)</f>
        <v>0</v>
      </c>
      <c r="AK8" s="134">
        <f>SUM(G8,I8,K8,M8,O8,Q8,S8,U8,W8,Y8,AA8,AC8,AE8,AG8,AI8)</f>
        <v>0</v>
      </c>
    </row>
    <row r="9" spans="1:37">
      <c r="A9" s="295"/>
      <c r="B9" s="213"/>
      <c r="C9" s="214"/>
      <c r="D9" s="217" t="s">
        <v>153</v>
      </c>
      <c r="E9" s="218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328"/>
      <c r="AJ9" s="134">
        <f>SUM(F9,H9,J9,L9,N9,P9,R9,T9,V9,X9,Z9,AB9,AD9,AF9,AH9)</f>
        <v>0</v>
      </c>
      <c r="AK9" s="134">
        <f>SUM(G9,I9,K9,M9,O9,Q9,S9,U9,W9,Y9,AA9,AC9,AE9,AG9,AI9)</f>
        <v>0</v>
      </c>
    </row>
    <row r="10" spans="1:37">
      <c r="A10" s="295"/>
      <c r="B10" s="215"/>
      <c r="C10" s="216"/>
      <c r="D10" s="217" t="s">
        <v>154</v>
      </c>
      <c r="E10" s="218"/>
      <c r="F10" s="134">
        <f>SUM(F5,F8,F9)</f>
        <v>0</v>
      </c>
      <c r="G10" s="134">
        <f>SUM(G5,G8,G9)</f>
        <v>0</v>
      </c>
      <c r="H10" s="134">
        <f>SUM(H5,H8,H9)</f>
        <v>0</v>
      </c>
      <c r="I10" s="134">
        <f>SUM(I5,I8,I9)</f>
        <v>0</v>
      </c>
      <c r="J10" s="134">
        <f>SUM(J5,J8,J9)</f>
        <v>0</v>
      </c>
      <c r="K10" s="134">
        <f>SUM(K5,K8,K9)</f>
        <v>0</v>
      </c>
      <c r="L10" s="134">
        <f>SUM(L5,L8,L9)</f>
        <v>0</v>
      </c>
      <c r="M10" s="134">
        <f>SUM(M5,M8,M9)</f>
        <v>0</v>
      </c>
      <c r="N10" s="134">
        <f>SUM(N5,N8,N9)</f>
        <v>0</v>
      </c>
      <c r="O10" s="134">
        <f>SUM(O5,O8,O9)</f>
        <v>0</v>
      </c>
      <c r="P10" s="134">
        <f>SUM(P5,P8,P9)</f>
        <v>0</v>
      </c>
      <c r="Q10" s="134">
        <f>SUM(Q5,Q8,Q9)</f>
        <v>0</v>
      </c>
      <c r="R10" s="134">
        <f>SUM(R5,R8,R9)</f>
        <v>0</v>
      </c>
      <c r="S10" s="134">
        <f>SUM(S5,S8,S9)</f>
        <v>0</v>
      </c>
      <c r="T10" s="134">
        <f>SUM(T5,T8,T9)</f>
        <v>0</v>
      </c>
      <c r="U10" s="134">
        <f>SUM(U5,U8,U9)</f>
        <v>0</v>
      </c>
      <c r="V10" s="134">
        <f>SUM(V5,V8,V9)</f>
        <v>0</v>
      </c>
      <c r="W10" s="134">
        <f>SUM(W5,W8,W9)</f>
        <v>0</v>
      </c>
      <c r="X10" s="134">
        <f>SUM(X5,X8,X9)</f>
        <v>0</v>
      </c>
      <c r="Y10" s="134">
        <f>SUM(Y5,Y8,Y9)</f>
        <v>0</v>
      </c>
      <c r="Z10" s="134">
        <f>SUM(Z5,Z8,Z9)</f>
        <v>0</v>
      </c>
      <c r="AA10" s="134">
        <f>SUM(AA5,AA8,AA9)</f>
        <v>0</v>
      </c>
      <c r="AB10" s="134">
        <f>SUM(AB5,AB8,AB9)</f>
        <v>0</v>
      </c>
      <c r="AC10" s="134">
        <f>SUM(AC5,AC8,AC9)</f>
        <v>0</v>
      </c>
      <c r="AD10" s="134">
        <f>SUM(AD5,AD8,AD9)</f>
        <v>0</v>
      </c>
      <c r="AE10" s="134">
        <f>SUM(AE5,AE8,AE9)</f>
        <v>0</v>
      </c>
      <c r="AF10" s="134">
        <f>SUM(AF5,AF8,AF9)</f>
        <v>0</v>
      </c>
      <c r="AG10" s="134">
        <f>SUM(AG5,AG8,AG9)</f>
        <v>0</v>
      </c>
      <c r="AH10" s="134">
        <f>SUM(AH5,AH8,AH9)</f>
        <v>0</v>
      </c>
      <c r="AI10" s="134">
        <f>SUM(AI5,AI8,AI9)</f>
        <v>0</v>
      </c>
      <c r="AJ10" s="134">
        <f>SUM(F10,H10,J10,L10,N10,P10,R10,T10,V10,X10,Z10,AB10,AD10,AF10,AH10)</f>
        <v>0</v>
      </c>
      <c r="AK10" s="134">
        <f>SUM(G10,I10,K10,M10,O10,Q10,S10,U10,W10,Y10,AA10,AC10,AE10,AG10,AI10)</f>
        <v>0</v>
      </c>
    </row>
    <row r="11" spans="1:37">
      <c r="A11" s="295"/>
      <c r="B11" s="222" t="s">
        <v>155</v>
      </c>
      <c r="C11" s="317" t="s">
        <v>215</v>
      </c>
      <c r="D11" s="297" t="s">
        <v>148</v>
      </c>
      <c r="E11" s="296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34">
        <f>SUM(F11,H11,J11,L11,N11,P11,R11,T11,V11,X11,Z11,AB11,AD11,AF11,AH11)</f>
        <v>0</v>
      </c>
      <c r="AK11" s="134">
        <f>SUM(G11,I11,K11,M11,O11,Q11,S11,U11,W11,Y11,AA11,AC11,AE11,AG11,AI11)</f>
        <v>0</v>
      </c>
    </row>
    <row r="12" spans="1:37">
      <c r="A12" s="295"/>
      <c r="B12" s="223"/>
      <c r="C12" s="316"/>
      <c r="D12" s="307" t="s">
        <v>149</v>
      </c>
      <c r="E12" s="306" t="s">
        <v>150</v>
      </c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330"/>
      <c r="AJ12" s="134">
        <f>SUM(F12,H12,J12,L12,N12,P12,R12,T12,V12,X12,Z12,AB12,AD12,AF12,AH12)</f>
        <v>0</v>
      </c>
      <c r="AK12" s="134">
        <f>SUM(G12,I12,K12,M12,O12,Q12,S12,U12,W12,Y12,AA12,AC12,AE12,AG12,AI12)</f>
        <v>0</v>
      </c>
    </row>
    <row r="13" spans="1:37">
      <c r="A13" s="295"/>
      <c r="B13" s="223"/>
      <c r="C13" s="316"/>
      <c r="D13" s="305"/>
      <c r="E13" s="304" t="s">
        <v>151</v>
      </c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329"/>
      <c r="AJ13" s="134">
        <f>SUM(F13,H13,J13,L13,N13,P13,R13,T13,V13,X13,Z13,AB13,AD13,AF13,AH13)</f>
        <v>0</v>
      </c>
      <c r="AK13" s="134">
        <f>SUM(G13,I13,K13,M13,O13,Q13,S13,U13,W13,Y13,AA13,AC13,AE13,AG13,AI13)</f>
        <v>0</v>
      </c>
    </row>
    <row r="14" spans="1:37">
      <c r="A14" s="295"/>
      <c r="B14" s="223"/>
      <c r="C14" s="316"/>
      <c r="D14" s="303"/>
      <c r="E14" s="302" t="s">
        <v>152</v>
      </c>
      <c r="F14" s="137">
        <f>SUM(F12:F13)</f>
        <v>0</v>
      </c>
      <c r="G14" s="137">
        <f>SUM(G12:G13)</f>
        <v>0</v>
      </c>
      <c r="H14" s="137">
        <f>SUM(H12:H13)</f>
        <v>0</v>
      </c>
      <c r="I14" s="137">
        <f>SUM(I12:I13)</f>
        <v>0</v>
      </c>
      <c r="J14" s="137">
        <f>SUM(J12:J13)</f>
        <v>0</v>
      </c>
      <c r="K14" s="137">
        <f>SUM(K12:K13)</f>
        <v>0</v>
      </c>
      <c r="L14" s="137">
        <f>SUM(L12:L13)</f>
        <v>0</v>
      </c>
      <c r="M14" s="137">
        <f>SUM(M12:M13)</f>
        <v>0</v>
      </c>
      <c r="N14" s="137">
        <f>SUM(N12:N13)</f>
        <v>0</v>
      </c>
      <c r="O14" s="137">
        <f>SUM(O12:O13)</f>
        <v>0</v>
      </c>
      <c r="P14" s="137">
        <f>SUM(P12:P13)</f>
        <v>0</v>
      </c>
      <c r="Q14" s="137">
        <f>SUM(Q12:Q13)</f>
        <v>0</v>
      </c>
      <c r="R14" s="137">
        <f>SUM(R12:R13)</f>
        <v>0</v>
      </c>
      <c r="S14" s="137">
        <f>SUM(S12:S13)</f>
        <v>0</v>
      </c>
      <c r="T14" s="137">
        <f>SUM(T12:T13)</f>
        <v>0</v>
      </c>
      <c r="U14" s="137">
        <f>SUM(U12:U13)</f>
        <v>0</v>
      </c>
      <c r="V14" s="137">
        <f>SUM(V12:V13)</f>
        <v>0</v>
      </c>
      <c r="W14" s="137">
        <f>SUM(W12:W13)</f>
        <v>0</v>
      </c>
      <c r="X14" s="137">
        <f>SUM(X12:X13)</f>
        <v>0</v>
      </c>
      <c r="Y14" s="137">
        <f>SUM(Y12:Y13)</f>
        <v>0</v>
      </c>
      <c r="Z14" s="137">
        <f>SUM(Z12:Z13)</f>
        <v>0</v>
      </c>
      <c r="AA14" s="137">
        <f>SUM(AA12:AA13)</f>
        <v>0</v>
      </c>
      <c r="AB14" s="137">
        <f>SUM(AB12:AB13)</f>
        <v>0</v>
      </c>
      <c r="AC14" s="137">
        <f>SUM(AC12:AC13)</f>
        <v>0</v>
      </c>
      <c r="AD14" s="137">
        <f>SUM(AD12:AD13)</f>
        <v>0</v>
      </c>
      <c r="AE14" s="137">
        <f>SUM(AE12:AE13)</f>
        <v>0</v>
      </c>
      <c r="AF14" s="137">
        <f>SUM(AF12:AF13)</f>
        <v>0</v>
      </c>
      <c r="AG14" s="137">
        <f>SUM(AG12:AG13)</f>
        <v>0</v>
      </c>
      <c r="AH14" s="137">
        <f>SUM(AH12:AH13)</f>
        <v>0</v>
      </c>
      <c r="AI14" s="137">
        <f>SUM(AI12:AI13)</f>
        <v>0</v>
      </c>
      <c r="AJ14" s="134">
        <f>SUM(F14,H14,J14,L14,N14,P14,R14,T14,V14,X14,Z14,AB14,AD14,AF14,AH14)</f>
        <v>0</v>
      </c>
      <c r="AK14" s="134">
        <f>SUM(G14,I14,K14,M14,O14,Q14,S14,U14,W14,Y14,AA14,AC14,AE14,AG14,AI14)</f>
        <v>0</v>
      </c>
    </row>
    <row r="15" spans="1:37">
      <c r="A15" s="295"/>
      <c r="B15" s="223"/>
      <c r="C15" s="316"/>
      <c r="D15" s="297" t="s">
        <v>153</v>
      </c>
      <c r="E15" s="296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328"/>
      <c r="AJ15" s="134">
        <f>SUM(F15,H15,J15,L15,N15,P15,R15,T15,V15,X15,Z15,AB15,AD15,AF15,AH15)</f>
        <v>0</v>
      </c>
      <c r="AK15" s="134">
        <f>SUM(G15,I15,K15,M15,O15,Q15,S15,U15,W15,Y15,AA15,AC15,AE15,AG15,AI15)</f>
        <v>0</v>
      </c>
    </row>
    <row r="16" spans="1:37">
      <c r="A16" s="295"/>
      <c r="B16" s="223"/>
      <c r="C16" s="313"/>
      <c r="D16" s="297" t="s">
        <v>154</v>
      </c>
      <c r="E16" s="296"/>
      <c r="F16" s="134">
        <f>SUM(F11,F14,F15)</f>
        <v>0</v>
      </c>
      <c r="G16" s="134">
        <f>SUM(G11,G14,G15)</f>
        <v>0</v>
      </c>
      <c r="H16" s="134">
        <f>SUM(H11,H14,H15)</f>
        <v>0</v>
      </c>
      <c r="I16" s="134">
        <f>SUM(I11,I14,I15)</f>
        <v>0</v>
      </c>
      <c r="J16" s="134">
        <f>SUM(J11,J14,J15)</f>
        <v>0</v>
      </c>
      <c r="K16" s="134">
        <f>SUM(K11,K14,K15)</f>
        <v>0</v>
      </c>
      <c r="L16" s="134">
        <f>SUM(L11,L14,L15)</f>
        <v>0</v>
      </c>
      <c r="M16" s="134">
        <f>SUM(M11,M14,M15)</f>
        <v>0</v>
      </c>
      <c r="N16" s="134">
        <f>SUM(N11,N14,N15)</f>
        <v>0</v>
      </c>
      <c r="O16" s="134">
        <f>SUM(O11,O14,O15)</f>
        <v>0</v>
      </c>
      <c r="P16" s="134">
        <f>SUM(P11,P14,P15)</f>
        <v>0</v>
      </c>
      <c r="Q16" s="134">
        <f>SUM(Q11,Q14,Q15)</f>
        <v>0</v>
      </c>
      <c r="R16" s="134">
        <f>SUM(R11,R14,R15)</f>
        <v>0</v>
      </c>
      <c r="S16" s="134">
        <f>SUM(S11,S14,S15)</f>
        <v>0</v>
      </c>
      <c r="T16" s="134">
        <f>SUM(T11,T14,T15)</f>
        <v>0</v>
      </c>
      <c r="U16" s="134">
        <f>SUM(U11,U14,U15)</f>
        <v>0</v>
      </c>
      <c r="V16" s="134">
        <f>SUM(V11,V14,V15)</f>
        <v>0</v>
      </c>
      <c r="W16" s="134">
        <f>SUM(W11,W14,W15)</f>
        <v>0</v>
      </c>
      <c r="X16" s="134">
        <f>SUM(X11,X14,X15)</f>
        <v>0</v>
      </c>
      <c r="Y16" s="134">
        <f>SUM(Y11,Y14,Y15)</f>
        <v>0</v>
      </c>
      <c r="Z16" s="134">
        <f>SUM(Z11,Z14,Z15)</f>
        <v>0</v>
      </c>
      <c r="AA16" s="134">
        <f>SUM(AA11,AA14,AA15)</f>
        <v>0</v>
      </c>
      <c r="AB16" s="134">
        <f>SUM(AB11,AB14,AB15)</f>
        <v>0</v>
      </c>
      <c r="AC16" s="134">
        <f>SUM(AC11,AC14,AC15)</f>
        <v>0</v>
      </c>
      <c r="AD16" s="134">
        <f>SUM(AD11,AD14,AD15)</f>
        <v>0</v>
      </c>
      <c r="AE16" s="134">
        <f>SUM(AE11,AE14,AE15)</f>
        <v>0</v>
      </c>
      <c r="AF16" s="134">
        <f>SUM(AF11,AF14,AF15)</f>
        <v>0</v>
      </c>
      <c r="AG16" s="134">
        <f>SUM(AG11,AG14,AG15)</f>
        <v>0</v>
      </c>
      <c r="AH16" s="134">
        <f>SUM(AH11,AH14,AH15)</f>
        <v>0</v>
      </c>
      <c r="AI16" s="134">
        <f>SUM(AI11,AI14,AI15)</f>
        <v>0</v>
      </c>
      <c r="AJ16" s="134">
        <f>SUM(F16,H16,J16,L16,N16,P16,R16,T16,V16,X16,Z16,AB16,AD16,AF16,AH16)</f>
        <v>0</v>
      </c>
      <c r="AK16" s="134">
        <f>SUM(G16,I16,K16,M16,O16,Q16,S16,U16,W16,Y16,AA16,AC16,AE16,AG16,AI16)</f>
        <v>0</v>
      </c>
    </row>
    <row r="17" spans="1:37">
      <c r="A17" s="295"/>
      <c r="B17" s="223"/>
      <c r="C17" s="317" t="s">
        <v>216</v>
      </c>
      <c r="D17" s="297" t="s">
        <v>148</v>
      </c>
      <c r="E17" s="296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34">
        <f>SUM(F17,H17,J17,L17,N17,P17,R17,T17,V17,X17,Z17,AB17,AD17,AF17,AH17)</f>
        <v>0</v>
      </c>
      <c r="AK17" s="134">
        <f>SUM(G17,I17,K17,M17,O17,Q17,S17,U17,W17,Y17,AA17,AC17,AE17,AG17,AI17)</f>
        <v>0</v>
      </c>
    </row>
    <row r="18" spans="1:37">
      <c r="A18" s="295"/>
      <c r="B18" s="223"/>
      <c r="C18" s="316"/>
      <c r="D18" s="307" t="s">
        <v>149</v>
      </c>
      <c r="E18" s="306" t="s">
        <v>150</v>
      </c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330"/>
      <c r="AJ18" s="134">
        <f>SUM(F18,H18,J18,L18,N18,P18,R18,T18,V18,X18,Z18,AB18,AD18,AF18,AH18)</f>
        <v>0</v>
      </c>
      <c r="AK18" s="134">
        <f>SUM(G18,I18,K18,M18,O18,Q18,S18,U18,W18,Y18,AA18,AC18,AE18,AG18,AI18)</f>
        <v>0</v>
      </c>
    </row>
    <row r="19" spans="1:37">
      <c r="A19" s="295"/>
      <c r="B19" s="223"/>
      <c r="C19" s="316"/>
      <c r="D19" s="305"/>
      <c r="E19" s="304" t="s">
        <v>151</v>
      </c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329"/>
      <c r="AJ19" s="134">
        <f>SUM(F19,H19,J19,L19,N19,P19,R19,T19,V19,X19,Z19,AB19,AD19,AF19,AH19)</f>
        <v>0</v>
      </c>
      <c r="AK19" s="134">
        <f>SUM(G19,I19,K19,M19,O19,Q19,S19,U19,W19,Y19,AA19,AC19,AE19,AG19,AI19)</f>
        <v>0</v>
      </c>
    </row>
    <row r="20" spans="1:37">
      <c r="A20" s="295"/>
      <c r="B20" s="223"/>
      <c r="C20" s="316"/>
      <c r="D20" s="303"/>
      <c r="E20" s="302" t="s">
        <v>152</v>
      </c>
      <c r="F20" s="137">
        <f>SUM(F18:F19)</f>
        <v>0</v>
      </c>
      <c r="G20" s="137">
        <f>SUM(G18:G19)</f>
        <v>0</v>
      </c>
      <c r="H20" s="137">
        <f>SUM(H18:H19)</f>
        <v>0</v>
      </c>
      <c r="I20" s="137">
        <f>SUM(I18:I19)</f>
        <v>0</v>
      </c>
      <c r="J20" s="137">
        <f>SUM(J18:J19)</f>
        <v>0</v>
      </c>
      <c r="K20" s="137">
        <f>SUM(K18:K19)</f>
        <v>0</v>
      </c>
      <c r="L20" s="137">
        <f>SUM(L18:L19)</f>
        <v>0</v>
      </c>
      <c r="M20" s="137">
        <f>SUM(M18:M19)</f>
        <v>0</v>
      </c>
      <c r="N20" s="137">
        <f>SUM(N18:N19)</f>
        <v>0</v>
      </c>
      <c r="O20" s="137">
        <f>SUM(O18:O19)</f>
        <v>0</v>
      </c>
      <c r="P20" s="137">
        <f>SUM(P18:P19)</f>
        <v>0</v>
      </c>
      <c r="Q20" s="137">
        <f>SUM(Q18:Q19)</f>
        <v>0</v>
      </c>
      <c r="R20" s="137">
        <f>SUM(R18:R19)</f>
        <v>0</v>
      </c>
      <c r="S20" s="137">
        <f>SUM(S18:S19)</f>
        <v>0</v>
      </c>
      <c r="T20" s="137">
        <f>SUM(T18:T19)</f>
        <v>0</v>
      </c>
      <c r="U20" s="137">
        <f>SUM(U18:U19)</f>
        <v>0</v>
      </c>
      <c r="V20" s="137">
        <f>SUM(V18:V19)</f>
        <v>0</v>
      </c>
      <c r="W20" s="137">
        <f>SUM(W18:W19)</f>
        <v>0</v>
      </c>
      <c r="X20" s="137">
        <f>SUM(X18:X19)</f>
        <v>0</v>
      </c>
      <c r="Y20" s="137">
        <f>SUM(Y18:Y19)</f>
        <v>0</v>
      </c>
      <c r="Z20" s="137">
        <f>SUM(Z18:Z19)</f>
        <v>0</v>
      </c>
      <c r="AA20" s="137">
        <f>SUM(AA18:AA19)</f>
        <v>0</v>
      </c>
      <c r="AB20" s="137">
        <f>SUM(AB18:AB19)</f>
        <v>0</v>
      </c>
      <c r="AC20" s="137">
        <f>SUM(AC18:AC19)</f>
        <v>0</v>
      </c>
      <c r="AD20" s="137">
        <f>SUM(AD18:AD19)</f>
        <v>0</v>
      </c>
      <c r="AE20" s="137">
        <f>SUM(AE18:AE19)</f>
        <v>0</v>
      </c>
      <c r="AF20" s="137">
        <f>SUM(AF18:AF19)</f>
        <v>0</v>
      </c>
      <c r="AG20" s="137">
        <f>SUM(AG18:AG19)</f>
        <v>0</v>
      </c>
      <c r="AH20" s="137">
        <f>SUM(AH18:AH19)</f>
        <v>0</v>
      </c>
      <c r="AI20" s="137">
        <f>SUM(AI18:AI19)</f>
        <v>0</v>
      </c>
      <c r="AJ20" s="134">
        <f>SUM(F20,H20,J20,L20,N20,P20,R20,T20,V20,X20,Z20,AB20,AD20,AF20,AH20)</f>
        <v>0</v>
      </c>
      <c r="AK20" s="134">
        <f>SUM(G20,I20,K20,M20,O20,Q20,S20,U20,W20,Y20,AA20,AC20,AE20,AG20,AI20)</f>
        <v>0</v>
      </c>
    </row>
    <row r="21" spans="1:37">
      <c r="A21" s="295"/>
      <c r="B21" s="223"/>
      <c r="C21" s="316"/>
      <c r="D21" s="297" t="s">
        <v>153</v>
      </c>
      <c r="E21" s="296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328"/>
      <c r="AJ21" s="134">
        <f>SUM(F21,H21,J21,L21,N21,P21,R21,T21,V21,X21,Z21,AB21,AD21,AF21,AH21)</f>
        <v>0</v>
      </c>
      <c r="AK21" s="134">
        <f>SUM(G21,I21,K21,M21,O21,Q21,S21,U21,W21,Y21,AA21,AC21,AE21,AG21,AI21)</f>
        <v>0</v>
      </c>
    </row>
    <row r="22" spans="1:37">
      <c r="A22" s="295"/>
      <c r="B22" s="223"/>
      <c r="C22" s="313"/>
      <c r="D22" s="297" t="s">
        <v>154</v>
      </c>
      <c r="E22" s="296"/>
      <c r="F22" s="134">
        <f>SUM(F17,F20,F21)</f>
        <v>0</v>
      </c>
      <c r="G22" s="134">
        <f>SUM(G17,G20,G21)</f>
        <v>0</v>
      </c>
      <c r="H22" s="134">
        <f>SUM(H17,H20,H21)</f>
        <v>0</v>
      </c>
      <c r="I22" s="134">
        <f>SUM(I17,I20,I21)</f>
        <v>0</v>
      </c>
      <c r="J22" s="134">
        <f>SUM(J17,J20,J21)</f>
        <v>0</v>
      </c>
      <c r="K22" s="134">
        <f>SUM(K17,K20,K21)</f>
        <v>0</v>
      </c>
      <c r="L22" s="134">
        <f>SUM(L17,L20,L21)</f>
        <v>0</v>
      </c>
      <c r="M22" s="134">
        <f>SUM(M17,M20,M21)</f>
        <v>0</v>
      </c>
      <c r="N22" s="134">
        <f>SUM(N17,N20,N21)</f>
        <v>0</v>
      </c>
      <c r="O22" s="134">
        <f>SUM(O17,O20,O21)</f>
        <v>0</v>
      </c>
      <c r="P22" s="134">
        <f>SUM(P17,P20,P21)</f>
        <v>0</v>
      </c>
      <c r="Q22" s="134">
        <f>SUM(Q17,Q20,Q21)</f>
        <v>0</v>
      </c>
      <c r="R22" s="134">
        <f>SUM(R17,R20,R21)</f>
        <v>0</v>
      </c>
      <c r="S22" s="134">
        <f>SUM(S17,S20,S21)</f>
        <v>0</v>
      </c>
      <c r="T22" s="134">
        <f>SUM(T17,T20,T21)</f>
        <v>0</v>
      </c>
      <c r="U22" s="134">
        <f>SUM(U17,U20,U21)</f>
        <v>0</v>
      </c>
      <c r="V22" s="134">
        <f>SUM(V17,V20,V21)</f>
        <v>0</v>
      </c>
      <c r="W22" s="134">
        <f>SUM(W17,W20,W21)</f>
        <v>0</v>
      </c>
      <c r="X22" s="134">
        <f>SUM(X17,X20,X21)</f>
        <v>0</v>
      </c>
      <c r="Y22" s="134">
        <f>SUM(Y17,Y20,Y21)</f>
        <v>0</v>
      </c>
      <c r="Z22" s="134">
        <f>SUM(Z17,Z20,Z21)</f>
        <v>0</v>
      </c>
      <c r="AA22" s="134">
        <f>SUM(AA17,AA20,AA21)</f>
        <v>0</v>
      </c>
      <c r="AB22" s="134">
        <f>SUM(AB17,AB20,AB21)</f>
        <v>0</v>
      </c>
      <c r="AC22" s="134">
        <f>SUM(AC17,AC20,AC21)</f>
        <v>0</v>
      </c>
      <c r="AD22" s="134">
        <f>SUM(AD17,AD20,AD21)</f>
        <v>0</v>
      </c>
      <c r="AE22" s="134">
        <f>SUM(AE17,AE20,AE21)</f>
        <v>0</v>
      </c>
      <c r="AF22" s="134">
        <f>SUM(AF17,AF20,AF21)</f>
        <v>0</v>
      </c>
      <c r="AG22" s="134">
        <f>SUM(AG17,AG20,AG21)</f>
        <v>0</v>
      </c>
      <c r="AH22" s="134">
        <f>SUM(AH17,AH20,AH21)</f>
        <v>0</v>
      </c>
      <c r="AI22" s="134">
        <f>SUM(AI17,AI20,AI21)</f>
        <v>0</v>
      </c>
      <c r="AJ22" s="134">
        <f>SUM(F22,H22,J22,L22,N22,P22,R22,T22,V22,X22,Z22,AB22,AD22,AF22,AH22)</f>
        <v>0</v>
      </c>
      <c r="AK22" s="134">
        <f>SUM(G22,I22,K22,M22,O22,Q22,S22,U22,W22,Y22,AA22,AC22,AE22,AG22,AI22)</f>
        <v>0</v>
      </c>
    </row>
    <row r="23" spans="1:37">
      <c r="A23" s="295"/>
      <c r="B23" s="224"/>
      <c r="C23" s="333" t="s">
        <v>158</v>
      </c>
      <c r="D23" s="332"/>
      <c r="E23" s="331"/>
      <c r="F23" s="134">
        <f>F16+F22</f>
        <v>0</v>
      </c>
      <c r="G23" s="134">
        <f>G16+G22</f>
        <v>0</v>
      </c>
      <c r="H23" s="134">
        <f>H16+H22</f>
        <v>0</v>
      </c>
      <c r="I23" s="134">
        <f>I16+I22</f>
        <v>0</v>
      </c>
      <c r="J23" s="134">
        <f>J16+J22</f>
        <v>0</v>
      </c>
      <c r="K23" s="134">
        <f>K16+K22</f>
        <v>0</v>
      </c>
      <c r="L23" s="134">
        <f>L16+L22</f>
        <v>0</v>
      </c>
      <c r="M23" s="134">
        <f>M16+M22</f>
        <v>0</v>
      </c>
      <c r="N23" s="134">
        <f>N16+N22</f>
        <v>0</v>
      </c>
      <c r="O23" s="134">
        <f>O16+O22</f>
        <v>0</v>
      </c>
      <c r="P23" s="134">
        <f>P16+P22</f>
        <v>0</v>
      </c>
      <c r="Q23" s="134">
        <f>Q16+Q22</f>
        <v>0</v>
      </c>
      <c r="R23" s="134">
        <f>R16+R22</f>
        <v>0</v>
      </c>
      <c r="S23" s="134">
        <f>S16+S22</f>
        <v>0</v>
      </c>
      <c r="T23" s="134">
        <f>T16+T22</f>
        <v>0</v>
      </c>
      <c r="U23" s="134">
        <f>U16+U22</f>
        <v>0</v>
      </c>
      <c r="V23" s="134">
        <f>V16+V22</f>
        <v>0</v>
      </c>
      <c r="W23" s="134">
        <f>W16+W22</f>
        <v>0</v>
      </c>
      <c r="X23" s="134">
        <f>X16+X22</f>
        <v>0</v>
      </c>
      <c r="Y23" s="134">
        <f>Y16+Y22</f>
        <v>0</v>
      </c>
      <c r="Z23" s="134">
        <f>Z16+Z22</f>
        <v>0</v>
      </c>
      <c r="AA23" s="134">
        <f>AA16+AA22</f>
        <v>0</v>
      </c>
      <c r="AB23" s="134">
        <f>AB16+AB22</f>
        <v>0</v>
      </c>
      <c r="AC23" s="134">
        <f>AC16+AC22</f>
        <v>0</v>
      </c>
      <c r="AD23" s="134">
        <f>AD16+AD22</f>
        <v>0</v>
      </c>
      <c r="AE23" s="134">
        <f>AE16+AE22</f>
        <v>0</v>
      </c>
      <c r="AF23" s="134">
        <f>AF16+AF22</f>
        <v>0</v>
      </c>
      <c r="AG23" s="134">
        <f>AG16+AG22</f>
        <v>0</v>
      </c>
      <c r="AH23" s="134">
        <f>AH16+AH22</f>
        <v>0</v>
      </c>
      <c r="AI23" s="134">
        <f>AI16+AI22</f>
        <v>0</v>
      </c>
      <c r="AJ23" s="134">
        <f>SUM(F23,H23,J23,L23,N23,P23,R23,T23,V23,X23,Z23,AB23,AD23,AF23,AH23)</f>
        <v>0</v>
      </c>
      <c r="AK23" s="134">
        <f>SUM(G23,I23,K23,M23,O23,Q23,S23,U23,W23,Y23,AA23,AC23,AE23,AG23,AI23)</f>
        <v>0</v>
      </c>
    </row>
    <row r="24" spans="1:37">
      <c r="A24" s="295"/>
      <c r="B24" s="211" t="s">
        <v>159</v>
      </c>
      <c r="C24" s="212"/>
      <c r="D24" s="217" t="s">
        <v>148</v>
      </c>
      <c r="E24" s="218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34">
        <f>SUM(F24,H24,J24,L24,N24,P24,R24,T24,V24,X24,Z24,AB24,AD24,AF24,AH24)</f>
        <v>0</v>
      </c>
      <c r="AK24" s="134">
        <f>SUM(G24,I24,K24,M24,O24,Q24,S24,U24,W24,Y24,AA24,AC24,AE24,AG24,AI24)</f>
        <v>0</v>
      </c>
    </row>
    <row r="25" spans="1:37">
      <c r="A25" s="295"/>
      <c r="B25" s="213"/>
      <c r="C25" s="214"/>
      <c r="D25" s="219" t="s">
        <v>149</v>
      </c>
      <c r="E25" s="105" t="s">
        <v>150</v>
      </c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330"/>
      <c r="AJ25" s="134">
        <f>SUM(F25,H25,J25,L25,N25,P25,R25,T25,V25,X25,Z25,AB25,AD25,AF25,AH25)</f>
        <v>0</v>
      </c>
      <c r="AK25" s="134">
        <f>SUM(G25,I25,K25,M25,O25,Q25,S25,U25,W25,Y25,AA25,AC25,AE25,AG25,AI25)</f>
        <v>0</v>
      </c>
    </row>
    <row r="26" spans="1:37">
      <c r="A26" s="295"/>
      <c r="B26" s="213"/>
      <c r="C26" s="214"/>
      <c r="D26" s="220"/>
      <c r="E26" s="108" t="s">
        <v>151</v>
      </c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329"/>
      <c r="AJ26" s="134">
        <f>SUM(F26,H26,J26,L26,N26,P26,R26,T26,V26,X26,Z26,AB26,AD26,AF26,AH26)</f>
        <v>0</v>
      </c>
      <c r="AK26" s="134">
        <f>SUM(G26,I26,K26,M26,O26,Q26,S26,U26,W26,Y26,AA26,AC26,AE26,AG26,AI26)</f>
        <v>0</v>
      </c>
    </row>
    <row r="27" spans="1:37">
      <c r="A27" s="295"/>
      <c r="B27" s="213"/>
      <c r="C27" s="214"/>
      <c r="D27" s="221"/>
      <c r="E27" s="111" t="s">
        <v>152</v>
      </c>
      <c r="F27" s="137">
        <f>SUM(F25:F26)</f>
        <v>0</v>
      </c>
      <c r="G27" s="137">
        <f>SUM(G25:G26)</f>
        <v>0</v>
      </c>
      <c r="H27" s="137">
        <f>SUM(H25:H26)</f>
        <v>0</v>
      </c>
      <c r="I27" s="137">
        <f>SUM(I25:I26)</f>
        <v>0</v>
      </c>
      <c r="J27" s="137">
        <f>SUM(J25:J26)</f>
        <v>0</v>
      </c>
      <c r="K27" s="137">
        <f>SUM(K25:K26)</f>
        <v>0</v>
      </c>
      <c r="L27" s="137">
        <f>SUM(L25:L26)</f>
        <v>0</v>
      </c>
      <c r="M27" s="137">
        <f>SUM(M25:M26)</f>
        <v>0</v>
      </c>
      <c r="N27" s="137">
        <f>SUM(N25:N26)</f>
        <v>0</v>
      </c>
      <c r="O27" s="137">
        <f>SUM(O25:O26)</f>
        <v>0</v>
      </c>
      <c r="P27" s="137">
        <f>SUM(P25:P26)</f>
        <v>0</v>
      </c>
      <c r="Q27" s="137">
        <f>SUM(Q25:Q26)</f>
        <v>0</v>
      </c>
      <c r="R27" s="137">
        <f>SUM(R25:R26)</f>
        <v>0</v>
      </c>
      <c r="S27" s="137">
        <f>SUM(S25:S26)</f>
        <v>0</v>
      </c>
      <c r="T27" s="137">
        <f>SUM(T25:T26)</f>
        <v>0</v>
      </c>
      <c r="U27" s="137">
        <f>SUM(U25:U26)</f>
        <v>0</v>
      </c>
      <c r="V27" s="137">
        <f>SUM(V25:V26)</f>
        <v>0</v>
      </c>
      <c r="W27" s="137">
        <f>SUM(W25:W26)</f>
        <v>0</v>
      </c>
      <c r="X27" s="137">
        <f>SUM(X25:X26)</f>
        <v>0</v>
      </c>
      <c r="Y27" s="137">
        <f>SUM(Y25:Y26)</f>
        <v>0</v>
      </c>
      <c r="Z27" s="137">
        <f>SUM(Z25:Z26)</f>
        <v>0</v>
      </c>
      <c r="AA27" s="137">
        <f>SUM(AA25:AA26)</f>
        <v>0</v>
      </c>
      <c r="AB27" s="137">
        <f>SUM(AB25:AB26)</f>
        <v>0</v>
      </c>
      <c r="AC27" s="137">
        <f>SUM(AC25:AC26)</f>
        <v>0</v>
      </c>
      <c r="AD27" s="137">
        <f>SUM(AD25:AD26)</f>
        <v>0</v>
      </c>
      <c r="AE27" s="137">
        <f>SUM(AE25:AE26)</f>
        <v>0</v>
      </c>
      <c r="AF27" s="137">
        <f>SUM(AF25:AF26)</f>
        <v>0</v>
      </c>
      <c r="AG27" s="137">
        <f>SUM(AG25:AG26)</f>
        <v>0</v>
      </c>
      <c r="AH27" s="137">
        <f>SUM(AH25:AH26)</f>
        <v>0</v>
      </c>
      <c r="AI27" s="137">
        <f>SUM(AI25:AI26)</f>
        <v>0</v>
      </c>
      <c r="AJ27" s="134">
        <f>SUM(F27,H27,J27,L27,N27,P27,R27,T27,V27,X27,Z27,AB27,AD27,AF27,AH27)</f>
        <v>0</v>
      </c>
      <c r="AK27" s="134">
        <f>SUM(G27,I27,K27,M27,O27,Q27,S27,U27,W27,Y27,AA27,AC27,AE27,AG27,AI27)</f>
        <v>0</v>
      </c>
    </row>
    <row r="28" spans="1:37">
      <c r="A28" s="295"/>
      <c r="B28" s="213"/>
      <c r="C28" s="214"/>
      <c r="D28" s="217" t="s">
        <v>153</v>
      </c>
      <c r="E28" s="218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328"/>
      <c r="AJ28" s="134">
        <f>SUM(F28,H28,J28,L28,N28,P28,R28,T28,V28,X28,Z28,AB28,AD28,AF28,AH28)</f>
        <v>0</v>
      </c>
      <c r="AK28" s="134">
        <f>SUM(G28,I28,K28,M28,O28,Q28,S28,U28,W28,Y28,AA28,AC28,AE28,AG28,AI28)</f>
        <v>0</v>
      </c>
    </row>
    <row r="29" spans="1:37">
      <c r="A29" s="295"/>
      <c r="B29" s="215"/>
      <c r="C29" s="216"/>
      <c r="D29" s="217" t="s">
        <v>154</v>
      </c>
      <c r="E29" s="218"/>
      <c r="F29" s="134">
        <f>SUM(F24,F27,F28)</f>
        <v>0</v>
      </c>
      <c r="G29" s="134">
        <f>SUM(G24,G27,G28)</f>
        <v>0</v>
      </c>
      <c r="H29" s="134">
        <f>SUM(H24,H27,H28)</f>
        <v>0</v>
      </c>
      <c r="I29" s="134">
        <f>SUM(I24,I27,I28)</f>
        <v>0</v>
      </c>
      <c r="J29" s="134">
        <f>SUM(J24,J27,J28)</f>
        <v>0</v>
      </c>
      <c r="K29" s="134">
        <f>SUM(K24,K27,K28)</f>
        <v>0</v>
      </c>
      <c r="L29" s="134">
        <f>SUM(L24,L27,L28)</f>
        <v>0</v>
      </c>
      <c r="M29" s="134">
        <f>SUM(M24,M27,M28)</f>
        <v>0</v>
      </c>
      <c r="N29" s="134">
        <f>SUM(N24,N27,N28)</f>
        <v>0</v>
      </c>
      <c r="O29" s="134">
        <f>SUM(O24,O27,O28)</f>
        <v>0</v>
      </c>
      <c r="P29" s="134">
        <f>SUM(P24,P27,P28)</f>
        <v>0</v>
      </c>
      <c r="Q29" s="134">
        <f>SUM(Q24,Q27,Q28)</f>
        <v>0</v>
      </c>
      <c r="R29" s="134">
        <f>SUM(R24,R27,R28)</f>
        <v>0</v>
      </c>
      <c r="S29" s="134">
        <f>SUM(S24,S27,S28)</f>
        <v>0</v>
      </c>
      <c r="T29" s="134">
        <f>SUM(T24,T27,T28)</f>
        <v>0</v>
      </c>
      <c r="U29" s="134">
        <f>SUM(U24,U27,U28)</f>
        <v>0</v>
      </c>
      <c r="V29" s="134">
        <f>SUM(V24,V27,V28)</f>
        <v>0</v>
      </c>
      <c r="W29" s="134">
        <f>SUM(W24,W27,W28)</f>
        <v>0</v>
      </c>
      <c r="X29" s="134">
        <f>SUM(X24,X27,X28)</f>
        <v>0</v>
      </c>
      <c r="Y29" s="134">
        <f>SUM(Y24,Y27,Y28)</f>
        <v>0</v>
      </c>
      <c r="Z29" s="134">
        <f>SUM(Z24,Z27,Z28)</f>
        <v>0</v>
      </c>
      <c r="AA29" s="134">
        <f>SUM(AA24,AA27,AA28)</f>
        <v>0</v>
      </c>
      <c r="AB29" s="134">
        <f>SUM(AB24,AB27,AB28)</f>
        <v>0</v>
      </c>
      <c r="AC29" s="134">
        <f>SUM(AC24,AC27,AC28)</f>
        <v>0</v>
      </c>
      <c r="AD29" s="134">
        <f>SUM(AD24,AD27,AD28)</f>
        <v>0</v>
      </c>
      <c r="AE29" s="134">
        <f>SUM(AE24,AE27,AE28)</f>
        <v>0</v>
      </c>
      <c r="AF29" s="134">
        <f>SUM(AF24,AF27,AF28)</f>
        <v>0</v>
      </c>
      <c r="AG29" s="134">
        <f>SUM(AG24,AG27,AG28)</f>
        <v>0</v>
      </c>
      <c r="AH29" s="134">
        <f>SUM(AH24,AH27,AH28)</f>
        <v>0</v>
      </c>
      <c r="AI29" s="134">
        <f>SUM(AI24,AI27,AI28)</f>
        <v>0</v>
      </c>
      <c r="AJ29" s="134">
        <f>SUM(F29,H29,J29,L29,N29,P29,R29,T29,V29,X29,Z29,AB29,AD29,AF29,AH29)</f>
        <v>0</v>
      </c>
      <c r="AK29" s="134">
        <f>SUM(G29,I29,K29,M29,O29,Q29,S29,U29,W29,Y29,AA29,AC29,AE29,AG29,AI29)</f>
        <v>0</v>
      </c>
    </row>
    <row r="30" spans="1:37">
      <c r="A30" s="295"/>
      <c r="B30" s="203" t="s">
        <v>144</v>
      </c>
      <c r="C30" s="204"/>
      <c r="D30" s="204"/>
      <c r="E30" s="205"/>
      <c r="F30" s="134">
        <f>SUM(F10,F23,F29)</f>
        <v>0</v>
      </c>
      <c r="G30" s="134">
        <f>SUM(G10,G23,G29)</f>
        <v>0</v>
      </c>
      <c r="H30" s="134">
        <f>SUM(H10,H23,H29)</f>
        <v>0</v>
      </c>
      <c r="I30" s="134">
        <f>SUM(I10,I23,I29)</f>
        <v>0</v>
      </c>
      <c r="J30" s="134">
        <f>SUM(J10,J23,J29)</f>
        <v>0</v>
      </c>
      <c r="K30" s="134">
        <f>SUM(K10,K23,K29)</f>
        <v>0</v>
      </c>
      <c r="L30" s="134">
        <f>SUM(L10,L23,L29)</f>
        <v>0</v>
      </c>
      <c r="M30" s="134">
        <f>SUM(M10,M23,M29)</f>
        <v>0</v>
      </c>
      <c r="N30" s="134">
        <f>SUM(N10,N23,N29)</f>
        <v>0</v>
      </c>
      <c r="O30" s="134">
        <f>SUM(O10,O23,O29)</f>
        <v>0</v>
      </c>
      <c r="P30" s="134">
        <f>SUM(P10,P23,P29)</f>
        <v>0</v>
      </c>
      <c r="Q30" s="134">
        <f>SUM(Q10,Q23,Q29)</f>
        <v>0</v>
      </c>
      <c r="R30" s="134">
        <f>SUM(R10,R23,R29)</f>
        <v>0</v>
      </c>
      <c r="S30" s="134">
        <f>SUM(S10,S23,S29)</f>
        <v>0</v>
      </c>
      <c r="T30" s="134">
        <f>SUM(T10,T23,T29)</f>
        <v>0</v>
      </c>
      <c r="U30" s="134">
        <f>SUM(U10,U23,U29)</f>
        <v>0</v>
      </c>
      <c r="V30" s="134">
        <f>SUM(V10,V23,V29)</f>
        <v>0</v>
      </c>
      <c r="W30" s="134">
        <f>SUM(W10,W23,W29)</f>
        <v>0</v>
      </c>
      <c r="X30" s="134">
        <f>SUM(X10,X23,X29)</f>
        <v>0</v>
      </c>
      <c r="Y30" s="134">
        <f>SUM(Y10,Y23,Y29)</f>
        <v>0</v>
      </c>
      <c r="Z30" s="134">
        <f>SUM(Z10,Z23,Z29)</f>
        <v>0</v>
      </c>
      <c r="AA30" s="134">
        <f>SUM(AA10,AA23,AA29)</f>
        <v>0</v>
      </c>
      <c r="AB30" s="134">
        <f>SUM(AB10,AB23,AB29)</f>
        <v>0</v>
      </c>
      <c r="AC30" s="134">
        <f>SUM(AC10,AC23,AC29)</f>
        <v>0</v>
      </c>
      <c r="AD30" s="134">
        <f>SUM(AD10,AD23,AD29)</f>
        <v>0</v>
      </c>
      <c r="AE30" s="134">
        <f>SUM(AE10,AE23,AE29)</f>
        <v>0</v>
      </c>
      <c r="AF30" s="134">
        <f>SUM(AF10,AF23,AF29)</f>
        <v>0</v>
      </c>
      <c r="AG30" s="134">
        <f>SUM(AG10,AG23,AG29)</f>
        <v>0</v>
      </c>
      <c r="AH30" s="134">
        <f>SUM(AH10,AH23,AH29)</f>
        <v>0</v>
      </c>
      <c r="AI30" s="134">
        <f>SUM(AI10,AI23,AI29)</f>
        <v>0</v>
      </c>
      <c r="AJ30" s="134">
        <f>SUM(F30,H30,J30,L30,N30,P30,R30,T30,V30,X30,Z30,AB30,AD30,AF30,AH30)</f>
        <v>0</v>
      </c>
      <c r="AK30" s="134">
        <f>SUM(G30,I30,K30,M30,O30,Q30,S30,U30,W30,Y30,AA30,AC30,AE30,AG30,AI30)</f>
        <v>0</v>
      </c>
    </row>
    <row r="31" spans="1:37" s="94" customFormat="1">
      <c r="A31" s="285"/>
      <c r="B31" s="285"/>
      <c r="C31" s="327"/>
      <c r="D31" s="327"/>
      <c r="E31" s="327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</row>
    <row r="32" spans="1:37">
      <c r="A32" s="116" t="s">
        <v>0</v>
      </c>
      <c r="B32" s="116"/>
      <c r="C32" s="116"/>
      <c r="AH32" s="94"/>
      <c r="AI32" s="94"/>
      <c r="AJ32" s="94"/>
      <c r="AK32" s="94"/>
    </row>
    <row r="33" spans="1:11" s="94" customFormat="1">
      <c r="A33" s="288" t="s">
        <v>217</v>
      </c>
      <c r="B33" s="288"/>
      <c r="C33" s="286"/>
      <c r="D33" s="92"/>
      <c r="E33" s="92"/>
      <c r="F33" s="92"/>
      <c r="G33" s="92"/>
      <c r="H33" s="92"/>
      <c r="I33" s="92"/>
      <c r="J33" s="92"/>
      <c r="K33" s="92"/>
    </row>
    <row r="34" spans="1:11" s="94" customFormat="1">
      <c r="A34" s="288" t="s">
        <v>218</v>
      </c>
      <c r="B34" s="288"/>
      <c r="C34" s="286"/>
      <c r="D34" s="92"/>
      <c r="E34" s="92"/>
      <c r="F34" s="92"/>
      <c r="G34" s="92"/>
      <c r="H34" s="92"/>
      <c r="I34" s="92"/>
      <c r="J34" s="92"/>
      <c r="K34" s="92"/>
    </row>
    <row r="35" spans="1:11" s="94" customFormat="1">
      <c r="A35" s="280" t="s">
        <v>251</v>
      </c>
      <c r="B35" s="280"/>
      <c r="C35" s="286"/>
      <c r="D35" s="92"/>
      <c r="E35" s="92"/>
      <c r="F35" s="92"/>
      <c r="G35" s="92"/>
      <c r="H35" s="92"/>
      <c r="I35" s="92"/>
      <c r="J35" s="92"/>
      <c r="K35" s="92"/>
    </row>
    <row r="36" spans="1:11" s="323" customFormat="1">
      <c r="A36" s="280" t="s">
        <v>252</v>
      </c>
      <c r="B36" s="280"/>
      <c r="C36" s="286"/>
      <c r="D36" s="92"/>
      <c r="E36" s="92"/>
      <c r="F36" s="92"/>
      <c r="G36" s="92"/>
      <c r="H36" s="92"/>
      <c r="I36" s="324"/>
    </row>
    <row r="37" spans="1:11">
      <c r="A37" s="116" t="s">
        <v>221</v>
      </c>
      <c r="B37" s="116"/>
      <c r="C37" s="8"/>
      <c r="D37" s="8"/>
      <c r="E37" s="8"/>
      <c r="F37" s="8"/>
      <c r="G37" s="8"/>
      <c r="H37" s="8"/>
      <c r="I37" s="8"/>
      <c r="J37" s="8"/>
      <c r="K37" s="8"/>
    </row>
    <row r="39" spans="1:11">
      <c r="A39" s="326"/>
      <c r="B39" s="326"/>
      <c r="E39" s="8"/>
      <c r="F39" s="8"/>
      <c r="G39" s="8"/>
    </row>
    <row r="40" spans="1:11" s="323" customFormat="1">
      <c r="A40" s="326"/>
      <c r="B40" s="326"/>
      <c r="C40" s="325"/>
      <c r="D40" s="324"/>
      <c r="E40" s="324"/>
      <c r="F40" s="324"/>
      <c r="G40" s="324"/>
      <c r="H40" s="324"/>
      <c r="I40" s="324"/>
    </row>
    <row r="41" spans="1:11" s="323" customFormat="1">
      <c r="A41" s="326"/>
      <c r="B41" s="326"/>
      <c r="C41" s="325"/>
      <c r="D41" s="324"/>
      <c r="E41" s="324"/>
      <c r="F41" s="324"/>
      <c r="G41" s="324"/>
      <c r="H41" s="324"/>
      <c r="I41" s="324"/>
    </row>
    <row r="43" spans="1:11" s="94" customFormat="1">
      <c r="A43" s="326"/>
      <c r="B43" s="326"/>
      <c r="C43" s="286"/>
      <c r="D43" s="92"/>
      <c r="E43" s="92"/>
      <c r="F43" s="92"/>
      <c r="G43" s="92"/>
      <c r="H43" s="92"/>
      <c r="I43" s="92"/>
    </row>
    <row r="44" spans="1:11" s="323" customFormat="1">
      <c r="A44" s="326"/>
      <c r="B44" s="326"/>
      <c r="C44" s="325"/>
      <c r="D44" s="324"/>
      <c r="E44" s="324"/>
      <c r="F44" s="324"/>
      <c r="G44" s="324"/>
      <c r="H44" s="324"/>
      <c r="I44" s="324"/>
    </row>
    <row r="45" spans="1:11" s="323" customFormat="1">
      <c r="A45" s="326"/>
      <c r="B45" s="326"/>
      <c r="C45" s="325"/>
      <c r="D45" s="324"/>
      <c r="E45" s="324"/>
      <c r="F45" s="324"/>
      <c r="G45" s="324"/>
      <c r="H45" s="324"/>
      <c r="I45" s="324"/>
    </row>
  </sheetData>
  <mergeCells count="40">
    <mergeCell ref="D15:E15"/>
    <mergeCell ref="D16:E16"/>
    <mergeCell ref="C17:C22"/>
    <mergeCell ref="D17:E17"/>
    <mergeCell ref="B30:E30"/>
    <mergeCell ref="D22:E22"/>
    <mergeCell ref="C23:E23"/>
    <mergeCell ref="B24:C29"/>
    <mergeCell ref="D24:E24"/>
    <mergeCell ref="D25:D27"/>
    <mergeCell ref="D28:E28"/>
    <mergeCell ref="D29:E29"/>
    <mergeCell ref="B11:B23"/>
    <mergeCell ref="C11:C16"/>
    <mergeCell ref="D18:D20"/>
    <mergeCell ref="D21:E21"/>
    <mergeCell ref="AB3:AC3"/>
    <mergeCell ref="AD3:AE3"/>
    <mergeCell ref="AF3:AG3"/>
    <mergeCell ref="J3:K3"/>
    <mergeCell ref="L3:M3"/>
    <mergeCell ref="N3:O3"/>
    <mergeCell ref="D11:E11"/>
    <mergeCell ref="D12:D14"/>
    <mergeCell ref="V3:W3"/>
    <mergeCell ref="X3:Y3"/>
    <mergeCell ref="Z3:AA3"/>
    <mergeCell ref="A3:E4"/>
    <mergeCell ref="F3:G3"/>
    <mergeCell ref="H3:I3"/>
    <mergeCell ref="AH3:AI3"/>
    <mergeCell ref="AJ3:AK3"/>
    <mergeCell ref="B5:C10"/>
    <mergeCell ref="D5:E5"/>
    <mergeCell ref="D6:D8"/>
    <mergeCell ref="D9:E9"/>
    <mergeCell ref="D10:E10"/>
    <mergeCell ref="P3:Q3"/>
    <mergeCell ref="R3:S3"/>
    <mergeCell ref="T3:U3"/>
  </mergeCells>
  <phoneticPr fontId="7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9C634-CBD9-46A8-8442-FCCC6C0FC84A}">
  <sheetPr>
    <tabColor rgb="FFFFFF00"/>
  </sheetPr>
  <dimension ref="A1:Y45"/>
  <sheetViews>
    <sheetView zoomScale="70" zoomScaleNormal="70" workbookViewId="0">
      <selection activeCell="K32" sqref="K32"/>
    </sheetView>
  </sheetViews>
  <sheetFormatPr defaultColWidth="8.88671875" defaultRowHeight="16.5"/>
  <cols>
    <col min="1" max="2" width="4.44140625" style="82" customWidth="1"/>
    <col min="3" max="3" width="7" style="82" customWidth="1"/>
    <col min="4" max="4" width="4.21875" style="82" customWidth="1"/>
    <col min="5" max="5" width="11.6640625" style="82" customWidth="1"/>
    <col min="6" max="25" width="8.109375" style="82" customWidth="1"/>
    <col min="26" max="16384" width="8.88671875" style="82"/>
  </cols>
  <sheetData>
    <row r="1" spans="1:25" ht="26.25">
      <c r="A1" s="95" t="s">
        <v>248</v>
      </c>
      <c r="B1" s="95"/>
      <c r="C1" s="96"/>
      <c r="S1" s="97"/>
      <c r="T1" s="97"/>
      <c r="U1" s="97"/>
      <c r="V1" s="97"/>
      <c r="W1" s="97"/>
    </row>
    <row r="2" spans="1:25" ht="20.25">
      <c r="A2" s="98"/>
      <c r="B2" s="98"/>
      <c r="C2" s="96"/>
      <c r="Y2" s="99" t="s">
        <v>138</v>
      </c>
    </row>
    <row r="3" spans="1:25" ht="32.450000000000003" customHeight="1">
      <c r="A3" s="226" t="s">
        <v>12</v>
      </c>
      <c r="B3" s="227"/>
      <c r="C3" s="227"/>
      <c r="D3" s="227"/>
      <c r="E3" s="245"/>
      <c r="F3" s="345" t="s">
        <v>293</v>
      </c>
      <c r="G3" s="345"/>
      <c r="H3" s="346" t="s">
        <v>294</v>
      </c>
      <c r="I3" s="345"/>
      <c r="J3" s="346" t="s">
        <v>295</v>
      </c>
      <c r="K3" s="345"/>
      <c r="L3" s="346" t="s">
        <v>296</v>
      </c>
      <c r="M3" s="345"/>
      <c r="N3" s="346" t="s">
        <v>297</v>
      </c>
      <c r="O3" s="345"/>
      <c r="P3" s="346" t="s">
        <v>298</v>
      </c>
      <c r="Q3" s="345"/>
      <c r="R3" s="346" t="s">
        <v>299</v>
      </c>
      <c r="S3" s="345"/>
      <c r="T3" s="346" t="s">
        <v>249</v>
      </c>
      <c r="U3" s="345"/>
      <c r="V3" s="346" t="s">
        <v>250</v>
      </c>
      <c r="W3" s="347"/>
      <c r="X3" s="348" t="s">
        <v>144</v>
      </c>
      <c r="Y3" s="349"/>
    </row>
    <row r="4" spans="1:25">
      <c r="A4" s="246"/>
      <c r="B4" s="247"/>
      <c r="C4" s="247"/>
      <c r="D4" s="247"/>
      <c r="E4" s="248"/>
      <c r="F4" s="165" t="s">
        <v>145</v>
      </c>
      <c r="G4" s="164" t="s">
        <v>146</v>
      </c>
      <c r="H4" s="165" t="s">
        <v>145</v>
      </c>
      <c r="I4" s="164" t="s">
        <v>146</v>
      </c>
      <c r="J4" s="165" t="s">
        <v>145</v>
      </c>
      <c r="K4" s="164" t="s">
        <v>146</v>
      </c>
      <c r="L4" s="165" t="s">
        <v>145</v>
      </c>
      <c r="M4" s="164" t="s">
        <v>146</v>
      </c>
      <c r="N4" s="165" t="s">
        <v>145</v>
      </c>
      <c r="O4" s="164" t="s">
        <v>146</v>
      </c>
      <c r="P4" s="165" t="s">
        <v>145</v>
      </c>
      <c r="Q4" s="164" t="s">
        <v>146</v>
      </c>
      <c r="R4" s="165" t="s">
        <v>145</v>
      </c>
      <c r="S4" s="164" t="s">
        <v>146</v>
      </c>
      <c r="T4" s="165" t="s">
        <v>145</v>
      </c>
      <c r="U4" s="164" t="s">
        <v>146</v>
      </c>
      <c r="V4" s="165" t="s">
        <v>145</v>
      </c>
      <c r="W4" s="164" t="s">
        <v>146</v>
      </c>
      <c r="X4" s="165" t="s">
        <v>145</v>
      </c>
      <c r="Y4" s="164" t="s">
        <v>146</v>
      </c>
    </row>
    <row r="5" spans="1:25">
      <c r="A5" s="102"/>
      <c r="B5" s="211" t="s">
        <v>147</v>
      </c>
      <c r="C5" s="212"/>
      <c r="D5" s="217" t="s">
        <v>148</v>
      </c>
      <c r="E5" s="218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34">
        <f>SUM(F5,H5,J5,L5,N5,P5,R5,T5,V5)</f>
        <v>0</v>
      </c>
      <c r="Y5" s="134">
        <f>SUM(G5,I5,K5,M5,O5,Q5,S5,U5,W5)</f>
        <v>0</v>
      </c>
    </row>
    <row r="6" spans="1:25">
      <c r="A6" s="102"/>
      <c r="B6" s="213"/>
      <c r="C6" s="214"/>
      <c r="D6" s="219" t="s">
        <v>149</v>
      </c>
      <c r="E6" s="105" t="s">
        <v>150</v>
      </c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4">
        <f>SUM(F6,H6,J6,L6,N6,P6,R6,T6,V6)</f>
        <v>0</v>
      </c>
      <c r="Y6" s="134">
        <f>SUM(G6,I6,K6,M6,O6,Q6,S6,U6,W6)</f>
        <v>0</v>
      </c>
    </row>
    <row r="7" spans="1:25">
      <c r="A7" s="102"/>
      <c r="B7" s="213"/>
      <c r="C7" s="214"/>
      <c r="D7" s="220"/>
      <c r="E7" s="108" t="s">
        <v>151</v>
      </c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4">
        <f>SUM(F7,H7,J7,L7,N7,P7,R7,T7,V7)</f>
        <v>0</v>
      </c>
      <c r="Y7" s="134">
        <f>SUM(G7,I7,K7,M7,O7,Q7,S7,U7,W7)</f>
        <v>0</v>
      </c>
    </row>
    <row r="8" spans="1:25">
      <c r="A8" s="102"/>
      <c r="B8" s="213"/>
      <c r="C8" s="214"/>
      <c r="D8" s="221"/>
      <c r="E8" s="111" t="s">
        <v>152</v>
      </c>
      <c r="F8" s="137">
        <f>SUM(F6:F7)</f>
        <v>0</v>
      </c>
      <c r="G8" s="137">
        <f t="shared" ref="G8:W8" si="0">SUM(G6:G7)</f>
        <v>0</v>
      </c>
      <c r="H8" s="137">
        <f t="shared" si="0"/>
        <v>0</v>
      </c>
      <c r="I8" s="137">
        <f t="shared" si="0"/>
        <v>0</v>
      </c>
      <c r="J8" s="137">
        <f t="shared" si="0"/>
        <v>0</v>
      </c>
      <c r="K8" s="137">
        <f t="shared" si="0"/>
        <v>0</v>
      </c>
      <c r="L8" s="137">
        <f t="shared" si="0"/>
        <v>0</v>
      </c>
      <c r="M8" s="137">
        <f t="shared" si="0"/>
        <v>0</v>
      </c>
      <c r="N8" s="137">
        <f t="shared" si="0"/>
        <v>0</v>
      </c>
      <c r="O8" s="137">
        <f t="shared" si="0"/>
        <v>0</v>
      </c>
      <c r="P8" s="137">
        <f t="shared" si="0"/>
        <v>0</v>
      </c>
      <c r="Q8" s="137">
        <f t="shared" si="0"/>
        <v>0</v>
      </c>
      <c r="R8" s="137">
        <f t="shared" si="0"/>
        <v>0</v>
      </c>
      <c r="S8" s="137">
        <f t="shared" si="0"/>
        <v>0</v>
      </c>
      <c r="T8" s="137">
        <f t="shared" si="0"/>
        <v>0</v>
      </c>
      <c r="U8" s="137">
        <f t="shared" si="0"/>
        <v>0</v>
      </c>
      <c r="V8" s="137">
        <f t="shared" si="0"/>
        <v>0</v>
      </c>
      <c r="W8" s="137">
        <f t="shared" si="0"/>
        <v>0</v>
      </c>
      <c r="X8" s="134">
        <f>SUM(F8,H8,J8,L8,N8,P8,R8,T8,V8)</f>
        <v>0</v>
      </c>
      <c r="Y8" s="134">
        <f>SUM(G8,I8,K8,M8,O8,Q8,S8,U8,W8)</f>
        <v>0</v>
      </c>
    </row>
    <row r="9" spans="1:25">
      <c r="A9" s="102"/>
      <c r="B9" s="213"/>
      <c r="C9" s="214"/>
      <c r="D9" s="217" t="s">
        <v>153</v>
      </c>
      <c r="E9" s="218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34">
        <f>SUM(F9,H9,J9,L9,N9,P9,R9,T9,V9)</f>
        <v>0</v>
      </c>
      <c r="Y9" s="134">
        <f>SUM(G9,I9,K9,M9,O9,Q9,S9,U9,W9)</f>
        <v>0</v>
      </c>
    </row>
    <row r="10" spans="1:25">
      <c r="A10" s="102"/>
      <c r="B10" s="215"/>
      <c r="C10" s="216"/>
      <c r="D10" s="217" t="s">
        <v>154</v>
      </c>
      <c r="E10" s="218"/>
      <c r="F10" s="134">
        <f t="shared" ref="F10:W10" si="1">SUM(F5,F8,F9)</f>
        <v>0</v>
      </c>
      <c r="G10" s="134">
        <f t="shared" si="1"/>
        <v>0</v>
      </c>
      <c r="H10" s="134">
        <f t="shared" si="1"/>
        <v>0</v>
      </c>
      <c r="I10" s="134">
        <f t="shared" si="1"/>
        <v>0</v>
      </c>
      <c r="J10" s="134">
        <f t="shared" si="1"/>
        <v>0</v>
      </c>
      <c r="K10" s="134">
        <f t="shared" si="1"/>
        <v>0</v>
      </c>
      <c r="L10" s="134">
        <f t="shared" si="1"/>
        <v>0</v>
      </c>
      <c r="M10" s="134">
        <f t="shared" si="1"/>
        <v>0</v>
      </c>
      <c r="N10" s="134">
        <f t="shared" si="1"/>
        <v>0</v>
      </c>
      <c r="O10" s="134">
        <f t="shared" si="1"/>
        <v>0</v>
      </c>
      <c r="P10" s="134">
        <f t="shared" si="1"/>
        <v>0</v>
      </c>
      <c r="Q10" s="134">
        <f t="shared" si="1"/>
        <v>0</v>
      </c>
      <c r="R10" s="134">
        <f t="shared" si="1"/>
        <v>0</v>
      </c>
      <c r="S10" s="134">
        <f t="shared" si="1"/>
        <v>0</v>
      </c>
      <c r="T10" s="134">
        <f t="shared" si="1"/>
        <v>0</v>
      </c>
      <c r="U10" s="134">
        <f t="shared" si="1"/>
        <v>0</v>
      </c>
      <c r="V10" s="134">
        <f t="shared" si="1"/>
        <v>0</v>
      </c>
      <c r="W10" s="134">
        <f t="shared" si="1"/>
        <v>0</v>
      </c>
      <c r="X10" s="134">
        <f>SUM(F10,H10,J10,L10,N10,P10,R10,T10,V10)</f>
        <v>0</v>
      </c>
      <c r="Y10" s="134">
        <f>SUM(G10,I10,K10,M10,O10,Q10,S10,U10,W10)</f>
        <v>0</v>
      </c>
    </row>
    <row r="11" spans="1:25">
      <c r="A11" s="102"/>
      <c r="B11" s="222" t="s">
        <v>155</v>
      </c>
      <c r="C11" s="222" t="s">
        <v>215</v>
      </c>
      <c r="D11" s="217" t="s">
        <v>148</v>
      </c>
      <c r="E11" s="218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34">
        <f>SUM(F11,H11,J11,L11,N11,P11,R11,T11,V11)</f>
        <v>0</v>
      </c>
      <c r="Y11" s="134">
        <f>SUM(G11,I11,K11,M11,O11,Q11,S11,U11,W11)</f>
        <v>0</v>
      </c>
    </row>
    <row r="12" spans="1:25">
      <c r="A12" s="102"/>
      <c r="B12" s="223"/>
      <c r="C12" s="223"/>
      <c r="D12" s="219" t="s">
        <v>149</v>
      </c>
      <c r="E12" s="105" t="s">
        <v>150</v>
      </c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4">
        <f>SUM(F12,H12,J12,L12,N12,P12,R12,T12,V12)</f>
        <v>0</v>
      </c>
      <c r="Y12" s="134">
        <f>SUM(G12,I12,K12,M12,O12,Q12,S12,U12,W12)</f>
        <v>0</v>
      </c>
    </row>
    <row r="13" spans="1:25">
      <c r="A13" s="102"/>
      <c r="B13" s="223"/>
      <c r="C13" s="223"/>
      <c r="D13" s="220"/>
      <c r="E13" s="108" t="s">
        <v>151</v>
      </c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4">
        <f>SUM(F13,H13,J13,L13,N13,P13,R13,T13,V13)</f>
        <v>0</v>
      </c>
      <c r="Y13" s="134">
        <f>SUM(G13,I13,K13,M13,O13,Q13,S13,U13,W13)</f>
        <v>0</v>
      </c>
    </row>
    <row r="14" spans="1:25">
      <c r="A14" s="102"/>
      <c r="B14" s="223"/>
      <c r="C14" s="223"/>
      <c r="D14" s="221"/>
      <c r="E14" s="111" t="s">
        <v>152</v>
      </c>
      <c r="F14" s="137">
        <f>SUM(F12:F13)</f>
        <v>0</v>
      </c>
      <c r="G14" s="137">
        <f t="shared" ref="G14:W14" si="2">SUM(G12:G13)</f>
        <v>0</v>
      </c>
      <c r="H14" s="137">
        <f t="shared" si="2"/>
        <v>0</v>
      </c>
      <c r="I14" s="137">
        <f t="shared" si="2"/>
        <v>0</v>
      </c>
      <c r="J14" s="137">
        <f t="shared" si="2"/>
        <v>0</v>
      </c>
      <c r="K14" s="137">
        <f t="shared" si="2"/>
        <v>0</v>
      </c>
      <c r="L14" s="137">
        <f t="shared" si="2"/>
        <v>0</v>
      </c>
      <c r="M14" s="137">
        <f t="shared" si="2"/>
        <v>0</v>
      </c>
      <c r="N14" s="137">
        <f t="shared" si="2"/>
        <v>0</v>
      </c>
      <c r="O14" s="137">
        <f t="shared" si="2"/>
        <v>0</v>
      </c>
      <c r="P14" s="137">
        <f t="shared" si="2"/>
        <v>0</v>
      </c>
      <c r="Q14" s="137">
        <f t="shared" si="2"/>
        <v>0</v>
      </c>
      <c r="R14" s="137">
        <f t="shared" si="2"/>
        <v>0</v>
      </c>
      <c r="S14" s="137">
        <f t="shared" si="2"/>
        <v>0</v>
      </c>
      <c r="T14" s="137">
        <f t="shared" si="2"/>
        <v>0</v>
      </c>
      <c r="U14" s="137">
        <f t="shared" si="2"/>
        <v>0</v>
      </c>
      <c r="V14" s="137">
        <f t="shared" si="2"/>
        <v>0</v>
      </c>
      <c r="W14" s="137">
        <f t="shared" si="2"/>
        <v>0</v>
      </c>
      <c r="X14" s="134">
        <f>SUM(F14,H14,J14,L14,N14,P14,R14,T14,V14)</f>
        <v>0</v>
      </c>
      <c r="Y14" s="134">
        <f>SUM(G14,I14,K14,M14,O14,Q14,S14,U14,W14)</f>
        <v>0</v>
      </c>
    </row>
    <row r="15" spans="1:25">
      <c r="A15" s="102"/>
      <c r="B15" s="223"/>
      <c r="C15" s="223"/>
      <c r="D15" s="217" t="s">
        <v>153</v>
      </c>
      <c r="E15" s="218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34">
        <f>SUM(F15,H15,J15,L15,N15,P15,R15,T15,V15)</f>
        <v>0</v>
      </c>
      <c r="Y15" s="134">
        <f>SUM(G15,I15,K15,M15,O15,Q15,S15,U15,W15)</f>
        <v>0</v>
      </c>
    </row>
    <row r="16" spans="1:25">
      <c r="A16" s="102"/>
      <c r="B16" s="223"/>
      <c r="C16" s="224"/>
      <c r="D16" s="217" t="s">
        <v>154</v>
      </c>
      <c r="E16" s="218"/>
      <c r="F16" s="134">
        <f t="shared" ref="F16:W16" si="3">SUM(F11,F14,F15)</f>
        <v>0</v>
      </c>
      <c r="G16" s="134">
        <f t="shared" si="3"/>
        <v>0</v>
      </c>
      <c r="H16" s="134">
        <f t="shared" si="3"/>
        <v>0</v>
      </c>
      <c r="I16" s="134">
        <f t="shared" si="3"/>
        <v>0</v>
      </c>
      <c r="J16" s="134">
        <f t="shared" si="3"/>
        <v>0</v>
      </c>
      <c r="K16" s="134">
        <f t="shared" si="3"/>
        <v>0</v>
      </c>
      <c r="L16" s="134">
        <f t="shared" si="3"/>
        <v>0</v>
      </c>
      <c r="M16" s="134">
        <f t="shared" si="3"/>
        <v>0</v>
      </c>
      <c r="N16" s="134">
        <f t="shared" si="3"/>
        <v>0</v>
      </c>
      <c r="O16" s="134">
        <f t="shared" si="3"/>
        <v>0</v>
      </c>
      <c r="P16" s="134">
        <f t="shared" si="3"/>
        <v>0</v>
      </c>
      <c r="Q16" s="134">
        <f t="shared" si="3"/>
        <v>0</v>
      </c>
      <c r="R16" s="134">
        <f t="shared" si="3"/>
        <v>0</v>
      </c>
      <c r="S16" s="134">
        <f t="shared" si="3"/>
        <v>0</v>
      </c>
      <c r="T16" s="134">
        <f t="shared" si="3"/>
        <v>0</v>
      </c>
      <c r="U16" s="134">
        <f t="shared" si="3"/>
        <v>0</v>
      </c>
      <c r="V16" s="134">
        <f t="shared" si="3"/>
        <v>0</v>
      </c>
      <c r="W16" s="134">
        <f t="shared" si="3"/>
        <v>0</v>
      </c>
      <c r="X16" s="134">
        <f>SUM(F16,H16,J16,L16,N16,P16,R16,T16,V16)</f>
        <v>0</v>
      </c>
      <c r="Y16" s="134">
        <f>SUM(G16,I16,K16,M16,O16,Q16,S16,U16,W16)</f>
        <v>0</v>
      </c>
    </row>
    <row r="17" spans="1:25">
      <c r="A17" s="102"/>
      <c r="B17" s="223"/>
      <c r="C17" s="222" t="s">
        <v>216</v>
      </c>
      <c r="D17" s="217" t="s">
        <v>148</v>
      </c>
      <c r="E17" s="218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34">
        <f>SUM(F17,H17,J17,L17,N17,P17,R17,T17,V17)</f>
        <v>0</v>
      </c>
      <c r="Y17" s="134">
        <f>SUM(G17,I17,K17,M17,O17,Q17,S17,U17,W17)</f>
        <v>0</v>
      </c>
    </row>
    <row r="18" spans="1:25">
      <c r="A18" s="102"/>
      <c r="B18" s="223"/>
      <c r="C18" s="223"/>
      <c r="D18" s="219" t="s">
        <v>149</v>
      </c>
      <c r="E18" s="105" t="s">
        <v>150</v>
      </c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4">
        <f>SUM(F18,H18,J18,L18,N18,P18,R18,T18,V18)</f>
        <v>0</v>
      </c>
      <c r="Y18" s="134">
        <f>SUM(G18,I18,K18,M18,O18,Q18,S18,U18,W18)</f>
        <v>0</v>
      </c>
    </row>
    <row r="19" spans="1:25">
      <c r="A19" s="102"/>
      <c r="B19" s="223"/>
      <c r="C19" s="223"/>
      <c r="D19" s="220"/>
      <c r="E19" s="108" t="s">
        <v>151</v>
      </c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4">
        <f>SUM(F19,H19,J19,L19,N19,P19,R19,T19,V19)</f>
        <v>0</v>
      </c>
      <c r="Y19" s="134">
        <f>SUM(G19,I19,K19,M19,O19,Q19,S19,U19,W19)</f>
        <v>0</v>
      </c>
    </row>
    <row r="20" spans="1:25">
      <c r="A20" s="102"/>
      <c r="B20" s="223"/>
      <c r="C20" s="223"/>
      <c r="D20" s="221"/>
      <c r="E20" s="111" t="s">
        <v>152</v>
      </c>
      <c r="F20" s="137">
        <f>SUM(F18:F19)</f>
        <v>0</v>
      </c>
      <c r="G20" s="137">
        <f t="shared" ref="G20:W20" si="4">SUM(G18:G19)</f>
        <v>0</v>
      </c>
      <c r="H20" s="137">
        <f t="shared" si="4"/>
        <v>0</v>
      </c>
      <c r="I20" s="137">
        <f t="shared" si="4"/>
        <v>0</v>
      </c>
      <c r="J20" s="137">
        <f t="shared" si="4"/>
        <v>0</v>
      </c>
      <c r="K20" s="137">
        <f t="shared" si="4"/>
        <v>0</v>
      </c>
      <c r="L20" s="137">
        <f t="shared" si="4"/>
        <v>0</v>
      </c>
      <c r="M20" s="137">
        <f t="shared" si="4"/>
        <v>0</v>
      </c>
      <c r="N20" s="137">
        <f t="shared" si="4"/>
        <v>0</v>
      </c>
      <c r="O20" s="137">
        <f t="shared" si="4"/>
        <v>0</v>
      </c>
      <c r="P20" s="137">
        <f t="shared" si="4"/>
        <v>0</v>
      </c>
      <c r="Q20" s="137">
        <f t="shared" si="4"/>
        <v>0</v>
      </c>
      <c r="R20" s="137">
        <f t="shared" si="4"/>
        <v>0</v>
      </c>
      <c r="S20" s="137">
        <f t="shared" si="4"/>
        <v>0</v>
      </c>
      <c r="T20" s="137">
        <f t="shared" si="4"/>
        <v>0</v>
      </c>
      <c r="U20" s="137">
        <f t="shared" si="4"/>
        <v>0</v>
      </c>
      <c r="V20" s="137">
        <f t="shared" si="4"/>
        <v>0</v>
      </c>
      <c r="W20" s="137">
        <f t="shared" si="4"/>
        <v>0</v>
      </c>
      <c r="X20" s="134">
        <f>SUM(F20,H20,J20,L20,N20,P20,R20,T20,V20)</f>
        <v>0</v>
      </c>
      <c r="Y20" s="134">
        <f>SUM(G20,I20,K20,M20,O20,Q20,S20,U20,W20)</f>
        <v>0</v>
      </c>
    </row>
    <row r="21" spans="1:25">
      <c r="A21" s="102"/>
      <c r="B21" s="223"/>
      <c r="C21" s="223"/>
      <c r="D21" s="217" t="s">
        <v>153</v>
      </c>
      <c r="E21" s="218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34">
        <f>SUM(F21,H21,J21,L21,N21,P21,R21,T21,V21)</f>
        <v>0</v>
      </c>
      <c r="Y21" s="134">
        <f>SUM(G21,I21,K21,M21,O21,Q21,S21,U21,W21)</f>
        <v>0</v>
      </c>
    </row>
    <row r="22" spans="1:25">
      <c r="A22" s="102"/>
      <c r="B22" s="223"/>
      <c r="C22" s="224"/>
      <c r="D22" s="217" t="s">
        <v>154</v>
      </c>
      <c r="E22" s="218"/>
      <c r="F22" s="134">
        <f t="shared" ref="F22:W22" si="5">SUM(F17,F20,F21)</f>
        <v>0</v>
      </c>
      <c r="G22" s="134">
        <f t="shared" si="5"/>
        <v>0</v>
      </c>
      <c r="H22" s="134">
        <f t="shared" si="5"/>
        <v>0</v>
      </c>
      <c r="I22" s="134">
        <f t="shared" si="5"/>
        <v>0</v>
      </c>
      <c r="J22" s="134">
        <f t="shared" si="5"/>
        <v>0</v>
      </c>
      <c r="K22" s="134">
        <f t="shared" si="5"/>
        <v>0</v>
      </c>
      <c r="L22" s="134">
        <f t="shared" si="5"/>
        <v>0</v>
      </c>
      <c r="M22" s="134">
        <f t="shared" si="5"/>
        <v>0</v>
      </c>
      <c r="N22" s="134">
        <f t="shared" si="5"/>
        <v>0</v>
      </c>
      <c r="O22" s="134">
        <f t="shared" si="5"/>
        <v>0</v>
      </c>
      <c r="P22" s="134">
        <f t="shared" si="5"/>
        <v>0</v>
      </c>
      <c r="Q22" s="134">
        <f t="shared" si="5"/>
        <v>0</v>
      </c>
      <c r="R22" s="134">
        <f t="shared" si="5"/>
        <v>0</v>
      </c>
      <c r="S22" s="134">
        <f t="shared" si="5"/>
        <v>0</v>
      </c>
      <c r="T22" s="134">
        <f t="shared" si="5"/>
        <v>0</v>
      </c>
      <c r="U22" s="134">
        <f t="shared" si="5"/>
        <v>0</v>
      </c>
      <c r="V22" s="134">
        <f t="shared" si="5"/>
        <v>0</v>
      </c>
      <c r="W22" s="134">
        <f t="shared" si="5"/>
        <v>0</v>
      </c>
      <c r="X22" s="134">
        <f>SUM(F22,H22,J22,L22,N22,P22,R22,T22,V22)</f>
        <v>0</v>
      </c>
      <c r="Y22" s="134">
        <f>SUM(G22,I22,K22,M22,O22,Q22,S22,U22,W22)</f>
        <v>0</v>
      </c>
    </row>
    <row r="23" spans="1:25">
      <c r="A23" s="102"/>
      <c r="B23" s="224"/>
      <c r="C23" s="239" t="s">
        <v>158</v>
      </c>
      <c r="D23" s="240"/>
      <c r="E23" s="241"/>
      <c r="F23" s="134">
        <f>F16+F22</f>
        <v>0</v>
      </c>
      <c r="G23" s="134">
        <f t="shared" ref="G23:W23" si="6">G16+G22</f>
        <v>0</v>
      </c>
      <c r="H23" s="134">
        <f t="shared" si="6"/>
        <v>0</v>
      </c>
      <c r="I23" s="134">
        <f t="shared" si="6"/>
        <v>0</v>
      </c>
      <c r="J23" s="134">
        <f t="shared" si="6"/>
        <v>0</v>
      </c>
      <c r="K23" s="134">
        <f t="shared" si="6"/>
        <v>0</v>
      </c>
      <c r="L23" s="134">
        <f t="shared" si="6"/>
        <v>0</v>
      </c>
      <c r="M23" s="134">
        <f t="shared" si="6"/>
        <v>0</v>
      </c>
      <c r="N23" s="134">
        <f t="shared" si="6"/>
        <v>0</v>
      </c>
      <c r="O23" s="134">
        <f t="shared" si="6"/>
        <v>0</v>
      </c>
      <c r="P23" s="134">
        <f t="shared" si="6"/>
        <v>0</v>
      </c>
      <c r="Q23" s="134">
        <f t="shared" si="6"/>
        <v>0</v>
      </c>
      <c r="R23" s="134">
        <f t="shared" si="6"/>
        <v>0</v>
      </c>
      <c r="S23" s="134">
        <f t="shared" si="6"/>
        <v>0</v>
      </c>
      <c r="T23" s="134">
        <f t="shared" si="6"/>
        <v>0</v>
      </c>
      <c r="U23" s="134">
        <f t="shared" si="6"/>
        <v>0</v>
      </c>
      <c r="V23" s="134">
        <f t="shared" si="6"/>
        <v>0</v>
      </c>
      <c r="W23" s="134">
        <f t="shared" si="6"/>
        <v>0</v>
      </c>
      <c r="X23" s="134">
        <f>SUM(F23,H23,J23,L23,N23,P23,R23,T23,V23)</f>
        <v>0</v>
      </c>
      <c r="Y23" s="134">
        <f>SUM(G23,I23,K23,M23,O23,Q23,S23,U23,W23)</f>
        <v>0</v>
      </c>
    </row>
    <row r="24" spans="1:25">
      <c r="A24" s="102"/>
      <c r="B24" s="211" t="s">
        <v>159</v>
      </c>
      <c r="C24" s="212"/>
      <c r="D24" s="217" t="s">
        <v>148</v>
      </c>
      <c r="E24" s="218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34">
        <f>SUM(F24,H24,J24,L24,N24,P24,R24,T24,V24)</f>
        <v>0</v>
      </c>
      <c r="Y24" s="134">
        <f>SUM(G24,I24,K24,M24,O24,Q24,S24,U24,W24)</f>
        <v>0</v>
      </c>
    </row>
    <row r="25" spans="1:25">
      <c r="A25" s="102"/>
      <c r="B25" s="213"/>
      <c r="C25" s="214"/>
      <c r="D25" s="219" t="s">
        <v>149</v>
      </c>
      <c r="E25" s="105" t="s">
        <v>150</v>
      </c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4">
        <f>SUM(F25,H25,J25,L25,N25,P25,R25,T25,V25)</f>
        <v>0</v>
      </c>
      <c r="Y25" s="134">
        <f>SUM(G25,I25,K25,M25,O25,Q25,S25,U25,W25)</f>
        <v>0</v>
      </c>
    </row>
    <row r="26" spans="1:25">
      <c r="A26" s="102"/>
      <c r="B26" s="213"/>
      <c r="C26" s="214"/>
      <c r="D26" s="220"/>
      <c r="E26" s="108" t="s">
        <v>151</v>
      </c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4">
        <f>SUM(F26,H26,J26,L26,N26,P26,R26,T26,V26)</f>
        <v>0</v>
      </c>
      <c r="Y26" s="134">
        <f>SUM(G26,I26,K26,M26,O26,Q26,S26,U26,W26)</f>
        <v>0</v>
      </c>
    </row>
    <row r="27" spans="1:25">
      <c r="A27" s="102"/>
      <c r="B27" s="213"/>
      <c r="C27" s="214"/>
      <c r="D27" s="221"/>
      <c r="E27" s="111" t="s">
        <v>152</v>
      </c>
      <c r="F27" s="137">
        <f>SUM(F25:F26)</f>
        <v>0</v>
      </c>
      <c r="G27" s="137">
        <f t="shared" ref="G27:W27" si="7">SUM(G25:G26)</f>
        <v>0</v>
      </c>
      <c r="H27" s="137">
        <f t="shared" si="7"/>
        <v>0</v>
      </c>
      <c r="I27" s="137">
        <f t="shared" si="7"/>
        <v>0</v>
      </c>
      <c r="J27" s="137">
        <f t="shared" si="7"/>
        <v>0</v>
      </c>
      <c r="K27" s="137">
        <f t="shared" si="7"/>
        <v>0</v>
      </c>
      <c r="L27" s="137">
        <f t="shared" si="7"/>
        <v>0</v>
      </c>
      <c r="M27" s="137">
        <f t="shared" si="7"/>
        <v>0</v>
      </c>
      <c r="N27" s="137">
        <f t="shared" si="7"/>
        <v>0</v>
      </c>
      <c r="O27" s="137">
        <f t="shared" si="7"/>
        <v>0</v>
      </c>
      <c r="P27" s="137">
        <f t="shared" si="7"/>
        <v>0</v>
      </c>
      <c r="Q27" s="137">
        <f t="shared" si="7"/>
        <v>0</v>
      </c>
      <c r="R27" s="137">
        <f t="shared" si="7"/>
        <v>0</v>
      </c>
      <c r="S27" s="137">
        <f t="shared" si="7"/>
        <v>0</v>
      </c>
      <c r="T27" s="137">
        <f t="shared" si="7"/>
        <v>0</v>
      </c>
      <c r="U27" s="137">
        <f t="shared" si="7"/>
        <v>0</v>
      </c>
      <c r="V27" s="137">
        <f t="shared" si="7"/>
        <v>0</v>
      </c>
      <c r="W27" s="137">
        <f t="shared" si="7"/>
        <v>0</v>
      </c>
      <c r="X27" s="134">
        <f>SUM(F27,H27,J27,L27,N27,P27,R27,T27,V27)</f>
        <v>0</v>
      </c>
      <c r="Y27" s="134">
        <f>SUM(G27,I27,K27,M27,O27,Q27,S27,U27,W27)</f>
        <v>0</v>
      </c>
    </row>
    <row r="28" spans="1:25">
      <c r="A28" s="102"/>
      <c r="B28" s="213"/>
      <c r="C28" s="214"/>
      <c r="D28" s="217" t="s">
        <v>153</v>
      </c>
      <c r="E28" s="218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34">
        <f>SUM(F28,H28,J28,L28,N28,P28,R28,T28,V28)</f>
        <v>0</v>
      </c>
      <c r="Y28" s="134">
        <f>SUM(G28,I28,K28,M28,O28,Q28,S28,U28,W28)</f>
        <v>0</v>
      </c>
    </row>
    <row r="29" spans="1:25">
      <c r="A29" s="102"/>
      <c r="B29" s="215"/>
      <c r="C29" s="216"/>
      <c r="D29" s="217" t="s">
        <v>154</v>
      </c>
      <c r="E29" s="218"/>
      <c r="F29" s="134">
        <f t="shared" ref="F29:W29" si="8">SUM(F24,F27,F28)</f>
        <v>0</v>
      </c>
      <c r="G29" s="134">
        <f t="shared" si="8"/>
        <v>0</v>
      </c>
      <c r="H29" s="134">
        <f t="shared" si="8"/>
        <v>0</v>
      </c>
      <c r="I29" s="134">
        <f t="shared" si="8"/>
        <v>0</v>
      </c>
      <c r="J29" s="134">
        <f t="shared" si="8"/>
        <v>0</v>
      </c>
      <c r="K29" s="134">
        <f t="shared" si="8"/>
        <v>0</v>
      </c>
      <c r="L29" s="134">
        <f t="shared" si="8"/>
        <v>0</v>
      </c>
      <c r="M29" s="134">
        <f t="shared" si="8"/>
        <v>0</v>
      </c>
      <c r="N29" s="134">
        <f t="shared" si="8"/>
        <v>0</v>
      </c>
      <c r="O29" s="134">
        <f t="shared" si="8"/>
        <v>0</v>
      </c>
      <c r="P29" s="134">
        <f t="shared" si="8"/>
        <v>0</v>
      </c>
      <c r="Q29" s="134">
        <f t="shared" si="8"/>
        <v>0</v>
      </c>
      <c r="R29" s="134">
        <f t="shared" si="8"/>
        <v>0</v>
      </c>
      <c r="S29" s="134">
        <f t="shared" si="8"/>
        <v>0</v>
      </c>
      <c r="T29" s="134">
        <f t="shared" si="8"/>
        <v>0</v>
      </c>
      <c r="U29" s="134">
        <f t="shared" si="8"/>
        <v>0</v>
      </c>
      <c r="V29" s="134">
        <f t="shared" si="8"/>
        <v>0</v>
      </c>
      <c r="W29" s="134">
        <f t="shared" si="8"/>
        <v>0</v>
      </c>
      <c r="X29" s="134">
        <f>SUM(F29,H29,J29,L29,N29,P29,R29,T29,V29)</f>
        <v>0</v>
      </c>
      <c r="Y29" s="134">
        <f>SUM(G29,I29,K29,M29,O29,Q29,S29,U29,W29)</f>
        <v>0</v>
      </c>
    </row>
    <row r="30" spans="1:25">
      <c r="A30" s="102"/>
      <c r="B30" s="203" t="s">
        <v>144</v>
      </c>
      <c r="C30" s="204"/>
      <c r="D30" s="204"/>
      <c r="E30" s="205"/>
      <c r="F30" s="134">
        <f>SUM(F10,F23,F29)</f>
        <v>0</v>
      </c>
      <c r="G30" s="134">
        <f t="shared" ref="G30:W30" si="9">SUM(G10,G23,G29)</f>
        <v>0</v>
      </c>
      <c r="H30" s="134">
        <f t="shared" si="9"/>
        <v>0</v>
      </c>
      <c r="I30" s="134">
        <f t="shared" si="9"/>
        <v>0</v>
      </c>
      <c r="J30" s="134">
        <f t="shared" si="9"/>
        <v>0</v>
      </c>
      <c r="K30" s="134">
        <f t="shared" si="9"/>
        <v>0</v>
      </c>
      <c r="L30" s="134">
        <f t="shared" si="9"/>
        <v>0</v>
      </c>
      <c r="M30" s="134">
        <f t="shared" si="9"/>
        <v>0</v>
      </c>
      <c r="N30" s="134">
        <f t="shared" si="9"/>
        <v>0</v>
      </c>
      <c r="O30" s="134">
        <f t="shared" si="9"/>
        <v>0</v>
      </c>
      <c r="P30" s="134">
        <f t="shared" si="9"/>
        <v>0</v>
      </c>
      <c r="Q30" s="134">
        <f t="shared" si="9"/>
        <v>0</v>
      </c>
      <c r="R30" s="134">
        <f t="shared" si="9"/>
        <v>0</v>
      </c>
      <c r="S30" s="134">
        <f t="shared" si="9"/>
        <v>0</v>
      </c>
      <c r="T30" s="134">
        <f t="shared" si="9"/>
        <v>0</v>
      </c>
      <c r="U30" s="134">
        <f t="shared" si="9"/>
        <v>0</v>
      </c>
      <c r="V30" s="134">
        <f t="shared" si="9"/>
        <v>0</v>
      </c>
      <c r="W30" s="134">
        <f t="shared" si="9"/>
        <v>0</v>
      </c>
      <c r="X30" s="134">
        <f>SUM(F30,H30,J30,L30,N30,P30,R30,T30,V30)</f>
        <v>0</v>
      </c>
      <c r="Y30" s="134">
        <f>SUM(G30,I30,K30,M30,O30,Q30,S30,U30,W30)</f>
        <v>0</v>
      </c>
    </row>
    <row r="31" spans="1:25">
      <c r="A31" s="9"/>
      <c r="B31" s="9"/>
      <c r="C31" s="113"/>
      <c r="D31" s="113"/>
      <c r="E31" s="113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</row>
    <row r="32" spans="1:25">
      <c r="A32" s="116" t="s">
        <v>0</v>
      </c>
      <c r="B32" s="116"/>
      <c r="C32" s="116"/>
    </row>
    <row r="33" spans="1:11">
      <c r="A33" s="117" t="s">
        <v>217</v>
      </c>
      <c r="B33" s="117"/>
      <c r="C33" s="118"/>
      <c r="D33" s="8"/>
      <c r="E33" s="8"/>
      <c r="F33" s="8"/>
      <c r="G33" s="8"/>
      <c r="H33" s="8"/>
      <c r="I33" s="8"/>
      <c r="J33" s="8"/>
      <c r="K33" s="8"/>
    </row>
    <row r="34" spans="1:11">
      <c r="A34" s="117" t="s">
        <v>218</v>
      </c>
      <c r="B34" s="117"/>
      <c r="C34" s="118"/>
      <c r="D34" s="8"/>
      <c r="E34" s="8"/>
      <c r="F34" s="8"/>
      <c r="G34" s="8"/>
      <c r="H34" s="8"/>
      <c r="I34" s="8"/>
      <c r="J34" s="8"/>
      <c r="K34" s="8"/>
    </row>
    <row r="35" spans="1:11">
      <c r="A35" s="8" t="s">
        <v>251</v>
      </c>
      <c r="B35" s="8"/>
      <c r="C35" s="118"/>
      <c r="D35" s="8"/>
      <c r="E35" s="8"/>
      <c r="F35" s="8"/>
      <c r="G35" s="8"/>
      <c r="H35" s="8"/>
      <c r="I35" s="8"/>
      <c r="J35" s="8"/>
      <c r="K35" s="8"/>
    </row>
    <row r="36" spans="1:11" s="139" customFormat="1">
      <c r="A36" s="8" t="s">
        <v>252</v>
      </c>
      <c r="B36" s="8"/>
      <c r="C36" s="118"/>
      <c r="D36" s="8"/>
      <c r="E36" s="8"/>
      <c r="F36" s="8"/>
      <c r="G36" s="8"/>
      <c r="H36" s="8"/>
      <c r="I36" s="140"/>
    </row>
    <row r="37" spans="1:11">
      <c r="A37" s="116" t="s">
        <v>221</v>
      </c>
      <c r="B37" s="116"/>
      <c r="C37" s="8"/>
      <c r="D37" s="8"/>
      <c r="E37" s="8"/>
      <c r="F37" s="8"/>
      <c r="G37" s="8"/>
      <c r="H37" s="8"/>
      <c r="I37" s="8"/>
      <c r="J37" s="8"/>
      <c r="K37" s="8"/>
    </row>
    <row r="39" spans="1:11">
      <c r="A39" s="140"/>
      <c r="B39" s="140"/>
      <c r="E39" s="8"/>
      <c r="F39" s="8"/>
      <c r="G39" s="8"/>
    </row>
    <row r="40" spans="1:11" s="139" customFormat="1">
      <c r="A40" s="140"/>
      <c r="B40" s="140"/>
      <c r="C40" s="141"/>
      <c r="D40" s="140"/>
      <c r="E40" s="140"/>
      <c r="F40" s="140"/>
      <c r="G40" s="140"/>
      <c r="H40" s="140"/>
      <c r="I40" s="140"/>
    </row>
    <row r="41" spans="1:11" s="139" customFormat="1">
      <c r="A41" s="140"/>
      <c r="B41" s="140"/>
      <c r="C41" s="141"/>
      <c r="D41" s="140"/>
      <c r="E41" s="140"/>
      <c r="F41" s="140"/>
      <c r="G41" s="140"/>
      <c r="H41" s="140"/>
      <c r="I41" s="140"/>
    </row>
    <row r="43" spans="1:11">
      <c r="A43" s="140"/>
      <c r="B43" s="140"/>
      <c r="C43" s="118"/>
      <c r="D43" s="8"/>
      <c r="E43" s="8"/>
      <c r="F43" s="8"/>
      <c r="G43" s="8"/>
      <c r="H43" s="8"/>
      <c r="I43" s="8"/>
    </row>
    <row r="44" spans="1:11" s="139" customFormat="1">
      <c r="A44" s="140"/>
      <c r="B44" s="140"/>
      <c r="C44" s="141"/>
      <c r="D44" s="140"/>
      <c r="E44" s="140"/>
      <c r="F44" s="140"/>
      <c r="G44" s="140"/>
      <c r="H44" s="140"/>
      <c r="I44" s="140"/>
    </row>
    <row r="45" spans="1:11" s="139" customFormat="1">
      <c r="A45" s="140"/>
      <c r="B45" s="140"/>
      <c r="C45" s="141"/>
      <c r="D45" s="140"/>
      <c r="E45" s="140"/>
      <c r="F45" s="140"/>
      <c r="G45" s="140"/>
      <c r="H45" s="140"/>
      <c r="I45" s="140"/>
    </row>
  </sheetData>
  <mergeCells count="34">
    <mergeCell ref="X3:Y3"/>
    <mergeCell ref="B5:C10"/>
    <mergeCell ref="D5:E5"/>
    <mergeCell ref="D6:D8"/>
    <mergeCell ref="D9:E9"/>
    <mergeCell ref="D10:E10"/>
    <mergeCell ref="P3:Q3"/>
    <mergeCell ref="R3:S3"/>
    <mergeCell ref="T3:U3"/>
    <mergeCell ref="V3:W3"/>
    <mergeCell ref="A3:E4"/>
    <mergeCell ref="F3:G3"/>
    <mergeCell ref="H3:I3"/>
    <mergeCell ref="D18:D20"/>
    <mergeCell ref="D21:E21"/>
    <mergeCell ref="J3:K3"/>
    <mergeCell ref="L3:M3"/>
    <mergeCell ref="N3:O3"/>
    <mergeCell ref="B30:E30"/>
    <mergeCell ref="D22:E22"/>
    <mergeCell ref="C23:E23"/>
    <mergeCell ref="B24:C29"/>
    <mergeCell ref="D24:E24"/>
    <mergeCell ref="D25:D27"/>
    <mergeCell ref="D28:E28"/>
    <mergeCell ref="D29:E29"/>
    <mergeCell ref="B11:B23"/>
    <mergeCell ref="C11:C16"/>
    <mergeCell ref="D11:E11"/>
    <mergeCell ref="D12:D14"/>
    <mergeCell ref="D15:E15"/>
    <mergeCell ref="D16:E16"/>
    <mergeCell ref="C17:C22"/>
    <mergeCell ref="D17:E17"/>
  </mergeCells>
  <phoneticPr fontId="7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0E95A-A576-4440-A55D-7A3DE89A6F8C}">
  <dimension ref="A1:AK45"/>
  <sheetViews>
    <sheetView zoomScale="70" zoomScaleNormal="70" workbookViewId="0">
      <selection activeCell="M13" sqref="M13"/>
    </sheetView>
  </sheetViews>
  <sheetFormatPr defaultRowHeight="16.5"/>
  <cols>
    <col min="1" max="2" width="4.44140625" style="82" customWidth="1"/>
    <col min="3" max="3" width="7" style="82" customWidth="1"/>
    <col min="4" max="4" width="4.21875" style="82" customWidth="1"/>
    <col min="5" max="5" width="11.6640625" style="82" customWidth="1"/>
    <col min="6" max="37" width="8.109375" style="82" customWidth="1"/>
    <col min="38" max="16384" width="8.88671875" style="82"/>
  </cols>
  <sheetData>
    <row r="1" spans="1:37" ht="26.25">
      <c r="A1" s="274" t="s">
        <v>208</v>
      </c>
      <c r="B1" s="274"/>
      <c r="C1" s="96"/>
      <c r="S1" s="97"/>
      <c r="T1" s="97"/>
      <c r="U1" s="97"/>
      <c r="V1" s="97"/>
      <c r="W1" s="97"/>
      <c r="X1" s="97"/>
      <c r="Y1" s="97"/>
    </row>
    <row r="2" spans="1:37" ht="20.25">
      <c r="A2" s="5"/>
      <c r="B2" s="5"/>
      <c r="C2" s="96"/>
      <c r="AK2" s="99" t="s">
        <v>138</v>
      </c>
    </row>
    <row r="3" spans="1:37" ht="25.5" customHeight="1">
      <c r="A3" s="226" t="s">
        <v>12</v>
      </c>
      <c r="B3" s="227"/>
      <c r="C3" s="228"/>
      <c r="D3" s="228"/>
      <c r="E3" s="229"/>
      <c r="F3" s="243" t="s">
        <v>292</v>
      </c>
      <c r="G3" s="243"/>
      <c r="H3" s="242" t="s">
        <v>291</v>
      </c>
      <c r="I3" s="243"/>
      <c r="J3" s="242" t="s">
        <v>290</v>
      </c>
      <c r="K3" s="243"/>
      <c r="L3" s="242" t="s">
        <v>289</v>
      </c>
      <c r="M3" s="243"/>
      <c r="N3" s="242" t="s">
        <v>288</v>
      </c>
      <c r="O3" s="243"/>
      <c r="P3" s="242" t="s">
        <v>287</v>
      </c>
      <c r="Q3" s="243"/>
      <c r="R3" s="242" t="s">
        <v>286</v>
      </c>
      <c r="S3" s="243"/>
      <c r="T3" s="242" t="s">
        <v>285</v>
      </c>
      <c r="U3" s="243"/>
      <c r="V3" s="242" t="s">
        <v>284</v>
      </c>
      <c r="W3" s="243"/>
      <c r="X3" s="242" t="s">
        <v>209</v>
      </c>
      <c r="Y3" s="243"/>
      <c r="Z3" s="242" t="s">
        <v>210</v>
      </c>
      <c r="AA3" s="243"/>
      <c r="AB3" s="242" t="s">
        <v>211</v>
      </c>
      <c r="AC3" s="243"/>
      <c r="AD3" s="242" t="s">
        <v>212</v>
      </c>
      <c r="AE3" s="243"/>
      <c r="AF3" s="242" t="s">
        <v>213</v>
      </c>
      <c r="AG3" s="243"/>
      <c r="AH3" s="242" t="s">
        <v>214</v>
      </c>
      <c r="AI3" s="244"/>
      <c r="AJ3" s="243" t="s">
        <v>144</v>
      </c>
      <c r="AK3" s="243"/>
    </row>
    <row r="4" spans="1:37">
      <c r="A4" s="230"/>
      <c r="B4" s="231"/>
      <c r="C4" s="231"/>
      <c r="D4" s="231"/>
      <c r="E4" s="232"/>
      <c r="F4" s="168" t="s">
        <v>145</v>
      </c>
      <c r="G4" s="169" t="s">
        <v>146</v>
      </c>
      <c r="H4" s="168" t="s">
        <v>145</v>
      </c>
      <c r="I4" s="169" t="s">
        <v>146</v>
      </c>
      <c r="J4" s="168" t="s">
        <v>145</v>
      </c>
      <c r="K4" s="169" t="s">
        <v>146</v>
      </c>
      <c r="L4" s="168" t="s">
        <v>145</v>
      </c>
      <c r="M4" s="169" t="s">
        <v>146</v>
      </c>
      <c r="N4" s="168" t="s">
        <v>145</v>
      </c>
      <c r="O4" s="169" t="s">
        <v>146</v>
      </c>
      <c r="P4" s="168" t="s">
        <v>145</v>
      </c>
      <c r="Q4" s="169" t="s">
        <v>146</v>
      </c>
      <c r="R4" s="168" t="s">
        <v>145</v>
      </c>
      <c r="S4" s="169" t="s">
        <v>146</v>
      </c>
      <c r="T4" s="168" t="s">
        <v>145</v>
      </c>
      <c r="U4" s="169" t="s">
        <v>146</v>
      </c>
      <c r="V4" s="168" t="s">
        <v>145</v>
      </c>
      <c r="W4" s="169" t="s">
        <v>146</v>
      </c>
      <c r="X4" s="168" t="s">
        <v>145</v>
      </c>
      <c r="Y4" s="169" t="s">
        <v>146</v>
      </c>
      <c r="Z4" s="168" t="s">
        <v>145</v>
      </c>
      <c r="AA4" s="169" t="s">
        <v>146</v>
      </c>
      <c r="AB4" s="168" t="s">
        <v>145</v>
      </c>
      <c r="AC4" s="169" t="s">
        <v>146</v>
      </c>
      <c r="AD4" s="168" t="s">
        <v>145</v>
      </c>
      <c r="AE4" s="169" t="s">
        <v>146</v>
      </c>
      <c r="AF4" s="168" t="s">
        <v>145</v>
      </c>
      <c r="AG4" s="169" t="s">
        <v>146</v>
      </c>
      <c r="AH4" s="168" t="s">
        <v>145</v>
      </c>
      <c r="AI4" s="167" t="s">
        <v>146</v>
      </c>
      <c r="AJ4" s="168" t="s">
        <v>145</v>
      </c>
      <c r="AK4" s="169" t="s">
        <v>146</v>
      </c>
    </row>
    <row r="5" spans="1:37">
      <c r="A5" s="295"/>
      <c r="B5" s="211" t="s">
        <v>147</v>
      </c>
      <c r="C5" s="212"/>
      <c r="D5" s="217" t="s">
        <v>148</v>
      </c>
      <c r="E5" s="218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34">
        <f>SUM(F5,H5,J5,L5,N5,P5,R5,T5,V5,X5,Z5,AB5,AD5,AF5,AH5)</f>
        <v>0</v>
      </c>
      <c r="AK5" s="134">
        <f>SUM(G5,I5,K5,M5,O5,Q5,S5,U5,W5,Y5,AA5,AC5,AE5,AG5,AI5)</f>
        <v>0</v>
      </c>
    </row>
    <row r="6" spans="1:37">
      <c r="A6" s="295"/>
      <c r="B6" s="213"/>
      <c r="C6" s="214"/>
      <c r="D6" s="219" t="s">
        <v>149</v>
      </c>
      <c r="E6" s="105" t="s">
        <v>150</v>
      </c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330"/>
      <c r="AJ6" s="134">
        <f>SUM(F6,H6,J6,L6,N6,P6,R6,T6,V6,X6,Z6,AB6,AD6,AF6,AH6)</f>
        <v>0</v>
      </c>
      <c r="AK6" s="134">
        <f>SUM(G6,I6,K6,M6,O6,Q6,S6,U6,W6,Y6,AA6,AC6,AE6,AG6,AI6)</f>
        <v>0</v>
      </c>
    </row>
    <row r="7" spans="1:37">
      <c r="A7" s="295"/>
      <c r="B7" s="213"/>
      <c r="C7" s="214"/>
      <c r="D7" s="220"/>
      <c r="E7" s="108" t="s">
        <v>151</v>
      </c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329"/>
      <c r="AJ7" s="134">
        <f>SUM(F7,H7,J7,L7,N7,P7,R7,T7,V7,X7,Z7,AB7,AD7,AF7,AH7)</f>
        <v>0</v>
      </c>
      <c r="AK7" s="134">
        <f>SUM(G7,I7,K7,M7,O7,Q7,S7,U7,W7,Y7,AA7,AC7,AE7,AG7,AI7)</f>
        <v>0</v>
      </c>
    </row>
    <row r="8" spans="1:37">
      <c r="A8" s="295"/>
      <c r="B8" s="213"/>
      <c r="C8" s="214"/>
      <c r="D8" s="221"/>
      <c r="E8" s="111" t="s">
        <v>152</v>
      </c>
      <c r="F8" s="137">
        <f>SUM(F6:F7)</f>
        <v>0</v>
      </c>
      <c r="G8" s="137">
        <f>SUM(G6:G7)</f>
        <v>0</v>
      </c>
      <c r="H8" s="137">
        <f>SUM(H6:H7)</f>
        <v>0</v>
      </c>
      <c r="I8" s="137">
        <f>SUM(I6:I7)</f>
        <v>0</v>
      </c>
      <c r="J8" s="137">
        <f>SUM(J6:J7)</f>
        <v>0</v>
      </c>
      <c r="K8" s="137">
        <f>SUM(K6:K7)</f>
        <v>0</v>
      </c>
      <c r="L8" s="137">
        <f>SUM(L6:L7)</f>
        <v>0</v>
      </c>
      <c r="M8" s="137">
        <f>SUM(M6:M7)</f>
        <v>0</v>
      </c>
      <c r="N8" s="137">
        <f>SUM(N6:N7)</f>
        <v>0</v>
      </c>
      <c r="O8" s="137">
        <f>SUM(O6:O7)</f>
        <v>0</v>
      </c>
      <c r="P8" s="137">
        <f>SUM(P6:P7)</f>
        <v>0</v>
      </c>
      <c r="Q8" s="137">
        <f>SUM(Q6:Q7)</f>
        <v>0</v>
      </c>
      <c r="R8" s="137">
        <f>SUM(R6:R7)</f>
        <v>0</v>
      </c>
      <c r="S8" s="137">
        <f>SUM(S6:S7)</f>
        <v>0</v>
      </c>
      <c r="T8" s="137">
        <f>SUM(T6:T7)</f>
        <v>0</v>
      </c>
      <c r="U8" s="137">
        <f>SUM(U6:U7)</f>
        <v>0</v>
      </c>
      <c r="V8" s="137">
        <f>SUM(V6:V7)</f>
        <v>0</v>
      </c>
      <c r="W8" s="137">
        <f>SUM(W6:W7)</f>
        <v>0</v>
      </c>
      <c r="X8" s="137">
        <f>SUM(X6:X7)</f>
        <v>0</v>
      </c>
      <c r="Y8" s="137">
        <f>SUM(Y6:Y7)</f>
        <v>0</v>
      </c>
      <c r="Z8" s="137">
        <f>SUM(Z6:Z7)</f>
        <v>0</v>
      </c>
      <c r="AA8" s="137">
        <f>SUM(AA6:AA7)</f>
        <v>0</v>
      </c>
      <c r="AB8" s="137">
        <f>SUM(AB6:AB7)</f>
        <v>0</v>
      </c>
      <c r="AC8" s="137">
        <f>SUM(AC6:AC7)</f>
        <v>0</v>
      </c>
      <c r="AD8" s="137">
        <f>SUM(AD6:AD7)</f>
        <v>0</v>
      </c>
      <c r="AE8" s="137">
        <f>SUM(AE6:AE7)</f>
        <v>0</v>
      </c>
      <c r="AF8" s="137">
        <f>SUM(AF6:AF7)</f>
        <v>0</v>
      </c>
      <c r="AG8" s="137">
        <f>SUM(AG6:AG7)</f>
        <v>0</v>
      </c>
      <c r="AH8" s="137">
        <f>SUM(AH6:AH7)</f>
        <v>0</v>
      </c>
      <c r="AI8" s="137">
        <f>SUM(AI6:AI7)</f>
        <v>0</v>
      </c>
      <c r="AJ8" s="134">
        <f>SUM(F8,H8,J8,L8,N8,P8,R8,T8,V8,X8,Z8,AB8,AD8,AF8,AH8)</f>
        <v>0</v>
      </c>
      <c r="AK8" s="134">
        <f>SUM(G8,I8,K8,M8,O8,Q8,S8,U8,W8,Y8,AA8,AC8,AE8,AG8,AI8)</f>
        <v>0</v>
      </c>
    </row>
    <row r="9" spans="1:37">
      <c r="A9" s="295"/>
      <c r="B9" s="213"/>
      <c r="C9" s="214"/>
      <c r="D9" s="217" t="s">
        <v>153</v>
      </c>
      <c r="E9" s="218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328"/>
      <c r="AJ9" s="134">
        <f>SUM(F9,H9,J9,L9,N9,P9,R9,T9,V9,X9,Z9,AB9,AD9,AF9,AH9)</f>
        <v>0</v>
      </c>
      <c r="AK9" s="134">
        <f>SUM(G9,I9,K9,M9,O9,Q9,S9,U9,W9,Y9,AA9,AC9,AE9,AG9,AI9)</f>
        <v>0</v>
      </c>
    </row>
    <row r="10" spans="1:37">
      <c r="A10" s="295"/>
      <c r="B10" s="215"/>
      <c r="C10" s="216"/>
      <c r="D10" s="217" t="s">
        <v>154</v>
      </c>
      <c r="E10" s="218"/>
      <c r="F10" s="134">
        <f>SUM(F5,F8,F9)</f>
        <v>0</v>
      </c>
      <c r="G10" s="134">
        <f>SUM(G5,G8,G9)</f>
        <v>0</v>
      </c>
      <c r="H10" s="134">
        <f>SUM(H5,H8,H9)</f>
        <v>0</v>
      </c>
      <c r="I10" s="134">
        <f>SUM(I5,I8,I9)</f>
        <v>0</v>
      </c>
      <c r="J10" s="134">
        <f>SUM(J5,J8,J9)</f>
        <v>0</v>
      </c>
      <c r="K10" s="134">
        <f>SUM(K5,K8,K9)</f>
        <v>0</v>
      </c>
      <c r="L10" s="134">
        <f>SUM(L5,L8,L9)</f>
        <v>0</v>
      </c>
      <c r="M10" s="134">
        <f>SUM(M5,M8,M9)</f>
        <v>0</v>
      </c>
      <c r="N10" s="134">
        <f>SUM(N5,N8,N9)</f>
        <v>0</v>
      </c>
      <c r="O10" s="134">
        <f>SUM(O5,O8,O9)</f>
        <v>0</v>
      </c>
      <c r="P10" s="134">
        <f>SUM(P5,P8,P9)</f>
        <v>0</v>
      </c>
      <c r="Q10" s="134">
        <f>SUM(Q5,Q8,Q9)</f>
        <v>0</v>
      </c>
      <c r="R10" s="134">
        <f>SUM(R5,R8,R9)</f>
        <v>0</v>
      </c>
      <c r="S10" s="134">
        <f>SUM(S5,S8,S9)</f>
        <v>0</v>
      </c>
      <c r="T10" s="134">
        <f>SUM(T5,T8,T9)</f>
        <v>0</v>
      </c>
      <c r="U10" s="134">
        <f>SUM(U5,U8,U9)</f>
        <v>0</v>
      </c>
      <c r="V10" s="134">
        <f>SUM(V5,V8,V9)</f>
        <v>0</v>
      </c>
      <c r="W10" s="134">
        <f>SUM(W5,W8,W9)</f>
        <v>0</v>
      </c>
      <c r="X10" s="134">
        <f>SUM(X5,X8,X9)</f>
        <v>0</v>
      </c>
      <c r="Y10" s="134">
        <f>SUM(Y5,Y8,Y9)</f>
        <v>0</v>
      </c>
      <c r="Z10" s="134">
        <f>SUM(Z5,Z8,Z9)</f>
        <v>0</v>
      </c>
      <c r="AA10" s="134">
        <f>SUM(AA5,AA8,AA9)</f>
        <v>0</v>
      </c>
      <c r="AB10" s="134">
        <f>SUM(AB5,AB8,AB9)</f>
        <v>0</v>
      </c>
      <c r="AC10" s="134">
        <f>SUM(AC5,AC8,AC9)</f>
        <v>0</v>
      </c>
      <c r="AD10" s="134">
        <f>SUM(AD5,AD8,AD9)</f>
        <v>0</v>
      </c>
      <c r="AE10" s="134">
        <f>SUM(AE5,AE8,AE9)</f>
        <v>0</v>
      </c>
      <c r="AF10" s="134">
        <f>SUM(AF5,AF8,AF9)</f>
        <v>0</v>
      </c>
      <c r="AG10" s="134">
        <f>SUM(AG5,AG8,AG9)</f>
        <v>0</v>
      </c>
      <c r="AH10" s="134">
        <f>SUM(AH5,AH8,AH9)</f>
        <v>0</v>
      </c>
      <c r="AI10" s="134">
        <f>SUM(AI5,AI8,AI9)</f>
        <v>0</v>
      </c>
      <c r="AJ10" s="134">
        <f>SUM(F10,H10,J10,L10,N10,P10,R10,T10,V10,X10,Z10,AB10,AD10,AF10,AH10)</f>
        <v>0</v>
      </c>
      <c r="AK10" s="134">
        <f>SUM(G10,I10,K10,M10,O10,Q10,S10,U10,W10,Y10,AA10,AC10,AE10,AG10,AI10)</f>
        <v>0</v>
      </c>
    </row>
    <row r="11" spans="1:37">
      <c r="A11" s="295"/>
      <c r="B11" s="317" t="s">
        <v>155</v>
      </c>
      <c r="C11" s="317" t="s">
        <v>215</v>
      </c>
      <c r="D11" s="297" t="s">
        <v>148</v>
      </c>
      <c r="E11" s="296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34">
        <f>SUM(F11,H11,J11,L11,N11,P11,R11,T11,V11,X11,Z11,AB11,AD11,AF11,AH11)</f>
        <v>0</v>
      </c>
      <c r="AK11" s="134">
        <f>SUM(G11,I11,K11,M11,O11,Q11,S11,U11,W11,Y11,AA11,AC11,AE11,AG11,AI11)</f>
        <v>0</v>
      </c>
    </row>
    <row r="12" spans="1:37">
      <c r="A12" s="295"/>
      <c r="B12" s="316"/>
      <c r="C12" s="316"/>
      <c r="D12" s="307" t="s">
        <v>149</v>
      </c>
      <c r="E12" s="306" t="s">
        <v>150</v>
      </c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330"/>
      <c r="AJ12" s="134">
        <f>SUM(F12,H12,J12,L12,N12,P12,R12,T12,V12,X12,Z12,AB12,AD12,AF12,AH12)</f>
        <v>0</v>
      </c>
      <c r="AK12" s="134">
        <f>SUM(G12,I12,K12,M12,O12,Q12,S12,U12,W12,Y12,AA12,AC12,AE12,AG12,AI12)</f>
        <v>0</v>
      </c>
    </row>
    <row r="13" spans="1:37">
      <c r="A13" s="295"/>
      <c r="B13" s="316"/>
      <c r="C13" s="316"/>
      <c r="D13" s="305"/>
      <c r="E13" s="304" t="s">
        <v>151</v>
      </c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329"/>
      <c r="AJ13" s="134">
        <f>SUM(F13,H13,J13,L13,N13,P13,R13,T13,V13,X13,Z13,AB13,AD13,AF13,AH13)</f>
        <v>0</v>
      </c>
      <c r="AK13" s="134">
        <f>SUM(G13,I13,K13,M13,O13,Q13,S13,U13,W13,Y13,AA13,AC13,AE13,AG13,AI13)</f>
        <v>0</v>
      </c>
    </row>
    <row r="14" spans="1:37">
      <c r="A14" s="295"/>
      <c r="B14" s="316"/>
      <c r="C14" s="316"/>
      <c r="D14" s="303"/>
      <c r="E14" s="302" t="s">
        <v>152</v>
      </c>
      <c r="F14" s="137">
        <f>SUM(F12:F13)</f>
        <v>0</v>
      </c>
      <c r="G14" s="137">
        <f>SUM(G12:G13)</f>
        <v>0</v>
      </c>
      <c r="H14" s="137">
        <f>SUM(H12:H13)</f>
        <v>0</v>
      </c>
      <c r="I14" s="137">
        <f>SUM(I12:I13)</f>
        <v>0</v>
      </c>
      <c r="J14" s="137">
        <f>SUM(J12:J13)</f>
        <v>0</v>
      </c>
      <c r="K14" s="137">
        <f>SUM(K12:K13)</f>
        <v>0</v>
      </c>
      <c r="L14" s="137">
        <f>SUM(L12:L13)</f>
        <v>0</v>
      </c>
      <c r="M14" s="137">
        <f>SUM(M12:M13)</f>
        <v>0</v>
      </c>
      <c r="N14" s="137">
        <f>SUM(N12:N13)</f>
        <v>0</v>
      </c>
      <c r="O14" s="137">
        <f>SUM(O12:O13)</f>
        <v>0</v>
      </c>
      <c r="P14" s="137">
        <f>SUM(P12:P13)</f>
        <v>0</v>
      </c>
      <c r="Q14" s="137">
        <f>SUM(Q12:Q13)</f>
        <v>0</v>
      </c>
      <c r="R14" s="137">
        <f>SUM(R12:R13)</f>
        <v>0</v>
      </c>
      <c r="S14" s="137">
        <f>SUM(S12:S13)</f>
        <v>0</v>
      </c>
      <c r="T14" s="137">
        <f>SUM(T12:T13)</f>
        <v>0</v>
      </c>
      <c r="U14" s="137">
        <f>SUM(U12:U13)</f>
        <v>0</v>
      </c>
      <c r="V14" s="137">
        <f>SUM(V12:V13)</f>
        <v>0</v>
      </c>
      <c r="W14" s="137">
        <f>SUM(W12:W13)</f>
        <v>0</v>
      </c>
      <c r="X14" s="137">
        <f>SUM(X12:X13)</f>
        <v>0</v>
      </c>
      <c r="Y14" s="137">
        <f>SUM(Y12:Y13)</f>
        <v>0</v>
      </c>
      <c r="Z14" s="137">
        <f>SUM(Z12:Z13)</f>
        <v>0</v>
      </c>
      <c r="AA14" s="137">
        <f>SUM(AA12:AA13)</f>
        <v>0</v>
      </c>
      <c r="AB14" s="137">
        <f>SUM(AB12:AB13)</f>
        <v>0</v>
      </c>
      <c r="AC14" s="137">
        <f>SUM(AC12:AC13)</f>
        <v>0</v>
      </c>
      <c r="AD14" s="137">
        <f>SUM(AD12:AD13)</f>
        <v>0</v>
      </c>
      <c r="AE14" s="137">
        <f>SUM(AE12:AE13)</f>
        <v>0</v>
      </c>
      <c r="AF14" s="137">
        <f>SUM(AF12:AF13)</f>
        <v>0</v>
      </c>
      <c r="AG14" s="137">
        <f>SUM(AG12:AG13)</f>
        <v>0</v>
      </c>
      <c r="AH14" s="137">
        <f>SUM(AH12:AH13)</f>
        <v>0</v>
      </c>
      <c r="AI14" s="137">
        <f>SUM(AI12:AI13)</f>
        <v>0</v>
      </c>
      <c r="AJ14" s="134">
        <f>SUM(F14,H14,J14,L14,N14,P14,R14,T14,V14,X14,Z14,AB14,AD14,AF14,AH14)</f>
        <v>0</v>
      </c>
      <c r="AK14" s="134">
        <f>SUM(G14,I14,K14,M14,O14,Q14,S14,U14,W14,Y14,AA14,AC14,AE14,AG14,AI14)</f>
        <v>0</v>
      </c>
    </row>
    <row r="15" spans="1:37">
      <c r="A15" s="295"/>
      <c r="B15" s="316"/>
      <c r="C15" s="316"/>
      <c r="D15" s="297" t="s">
        <v>153</v>
      </c>
      <c r="E15" s="296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328"/>
      <c r="AJ15" s="134">
        <f>SUM(F15,H15,J15,L15,N15,P15,R15,T15,V15,X15,Z15,AB15,AD15,AF15,AH15)</f>
        <v>0</v>
      </c>
      <c r="AK15" s="134">
        <f>SUM(G15,I15,K15,M15,O15,Q15,S15,U15,W15,Y15,AA15,AC15,AE15,AG15,AI15)</f>
        <v>0</v>
      </c>
    </row>
    <row r="16" spans="1:37">
      <c r="A16" s="295"/>
      <c r="B16" s="316"/>
      <c r="C16" s="313"/>
      <c r="D16" s="297" t="s">
        <v>154</v>
      </c>
      <c r="E16" s="296"/>
      <c r="F16" s="134">
        <f>SUM(F11,F14,F15)</f>
        <v>0</v>
      </c>
      <c r="G16" s="134">
        <f>SUM(G11,G14,G15)</f>
        <v>0</v>
      </c>
      <c r="H16" s="134">
        <f>SUM(H11,H14,H15)</f>
        <v>0</v>
      </c>
      <c r="I16" s="134">
        <f>SUM(I11,I14,I15)</f>
        <v>0</v>
      </c>
      <c r="J16" s="134">
        <f>SUM(J11,J14,J15)</f>
        <v>0</v>
      </c>
      <c r="K16" s="134">
        <f>SUM(K11,K14,K15)</f>
        <v>0</v>
      </c>
      <c r="L16" s="134">
        <f>SUM(L11,L14,L15)</f>
        <v>0</v>
      </c>
      <c r="M16" s="134">
        <f>SUM(M11,M14,M15)</f>
        <v>0</v>
      </c>
      <c r="N16" s="134">
        <f>SUM(N11,N14,N15)</f>
        <v>0</v>
      </c>
      <c r="O16" s="134">
        <f>SUM(O11,O14,O15)</f>
        <v>0</v>
      </c>
      <c r="P16" s="134">
        <f>SUM(P11,P14,P15)</f>
        <v>0</v>
      </c>
      <c r="Q16" s="134">
        <f>SUM(Q11,Q14,Q15)</f>
        <v>0</v>
      </c>
      <c r="R16" s="134">
        <f>SUM(R11,R14,R15)</f>
        <v>0</v>
      </c>
      <c r="S16" s="134">
        <f>SUM(S11,S14,S15)</f>
        <v>0</v>
      </c>
      <c r="T16" s="134">
        <f>SUM(T11,T14,T15)</f>
        <v>0</v>
      </c>
      <c r="U16" s="134">
        <f>SUM(U11,U14,U15)</f>
        <v>0</v>
      </c>
      <c r="V16" s="134">
        <f>SUM(V11,V14,V15)</f>
        <v>0</v>
      </c>
      <c r="W16" s="134">
        <f>SUM(W11,W14,W15)</f>
        <v>0</v>
      </c>
      <c r="X16" s="134">
        <f>SUM(X11,X14,X15)</f>
        <v>0</v>
      </c>
      <c r="Y16" s="134">
        <f>SUM(Y11,Y14,Y15)</f>
        <v>0</v>
      </c>
      <c r="Z16" s="134">
        <f>SUM(Z11,Z14,Z15)</f>
        <v>0</v>
      </c>
      <c r="AA16" s="134">
        <f>SUM(AA11,AA14,AA15)</f>
        <v>0</v>
      </c>
      <c r="AB16" s="134">
        <f>SUM(AB11,AB14,AB15)</f>
        <v>0</v>
      </c>
      <c r="AC16" s="134">
        <f>SUM(AC11,AC14,AC15)</f>
        <v>0</v>
      </c>
      <c r="AD16" s="134">
        <f>SUM(AD11,AD14,AD15)</f>
        <v>0</v>
      </c>
      <c r="AE16" s="134">
        <f>SUM(AE11,AE14,AE15)</f>
        <v>0</v>
      </c>
      <c r="AF16" s="134">
        <f>SUM(AF11,AF14,AF15)</f>
        <v>0</v>
      </c>
      <c r="AG16" s="134">
        <f>SUM(AG11,AG14,AG15)</f>
        <v>0</v>
      </c>
      <c r="AH16" s="134">
        <f>SUM(AH11,AH14,AH15)</f>
        <v>0</v>
      </c>
      <c r="AI16" s="134">
        <f>SUM(AI11,AI14,AI15)</f>
        <v>0</v>
      </c>
      <c r="AJ16" s="134">
        <f>SUM(F16,H16,J16,L16,N16,P16,R16,T16,V16,X16,Z16,AB16,AD16,AF16,AH16)</f>
        <v>0</v>
      </c>
      <c r="AK16" s="134">
        <f>SUM(G16,I16,K16,M16,O16,Q16,S16,U16,W16,Y16,AA16,AC16,AE16,AG16,AI16)</f>
        <v>0</v>
      </c>
    </row>
    <row r="17" spans="1:37">
      <c r="A17" s="295"/>
      <c r="B17" s="316"/>
      <c r="C17" s="317" t="s">
        <v>216</v>
      </c>
      <c r="D17" s="297" t="s">
        <v>148</v>
      </c>
      <c r="E17" s="296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34">
        <f>SUM(F17,H17,J17,L17,N17,P17,R17,T17,V17,X17,Z17,AB17,AD17,AF17,AH17)</f>
        <v>0</v>
      </c>
      <c r="AK17" s="134">
        <f>SUM(G17,I17,K17,M17,O17,Q17,S17,U17,W17,Y17,AA17,AC17,AE17,AG17,AI17)</f>
        <v>0</v>
      </c>
    </row>
    <row r="18" spans="1:37">
      <c r="A18" s="295"/>
      <c r="B18" s="316"/>
      <c r="C18" s="316"/>
      <c r="D18" s="307" t="s">
        <v>149</v>
      </c>
      <c r="E18" s="306" t="s">
        <v>150</v>
      </c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330"/>
      <c r="AJ18" s="134">
        <f>SUM(F18,H18,J18,L18,N18,P18,R18,T18,V18,X18,Z18,AB18,AD18,AF18,AH18)</f>
        <v>0</v>
      </c>
      <c r="AK18" s="134">
        <f>SUM(G18,I18,K18,M18,O18,Q18,S18,U18,W18,Y18,AA18,AC18,AE18,AG18,AI18)</f>
        <v>0</v>
      </c>
    </row>
    <row r="19" spans="1:37">
      <c r="A19" s="295"/>
      <c r="B19" s="316"/>
      <c r="C19" s="316"/>
      <c r="D19" s="305"/>
      <c r="E19" s="304" t="s">
        <v>151</v>
      </c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329"/>
      <c r="AJ19" s="134">
        <f>SUM(F19,H19,J19,L19,N19,P19,R19,T19,V19,X19,Z19,AB19,AD19,AF19,AH19)</f>
        <v>0</v>
      </c>
      <c r="AK19" s="134">
        <f>SUM(G19,I19,K19,M19,O19,Q19,S19,U19,W19,Y19,AA19,AC19,AE19,AG19,AI19)</f>
        <v>0</v>
      </c>
    </row>
    <row r="20" spans="1:37">
      <c r="A20" s="295"/>
      <c r="B20" s="316"/>
      <c r="C20" s="316"/>
      <c r="D20" s="303"/>
      <c r="E20" s="302" t="s">
        <v>152</v>
      </c>
      <c r="F20" s="137">
        <f>SUM(F18:F19)</f>
        <v>0</v>
      </c>
      <c r="G20" s="137">
        <f>SUM(G18:G19)</f>
        <v>0</v>
      </c>
      <c r="H20" s="137">
        <f>SUM(H18:H19)</f>
        <v>0</v>
      </c>
      <c r="I20" s="137">
        <f>SUM(I18:I19)</f>
        <v>0</v>
      </c>
      <c r="J20" s="137">
        <f>SUM(J18:J19)</f>
        <v>0</v>
      </c>
      <c r="K20" s="137">
        <f>SUM(K18:K19)</f>
        <v>0</v>
      </c>
      <c r="L20" s="137">
        <f>SUM(L18:L19)</f>
        <v>0</v>
      </c>
      <c r="M20" s="137">
        <f>SUM(M18:M19)</f>
        <v>0</v>
      </c>
      <c r="N20" s="137">
        <f>SUM(N18:N19)</f>
        <v>0</v>
      </c>
      <c r="O20" s="137">
        <f>SUM(O18:O19)</f>
        <v>0</v>
      </c>
      <c r="P20" s="137">
        <f>SUM(P18:P19)</f>
        <v>0</v>
      </c>
      <c r="Q20" s="137">
        <f>SUM(Q18:Q19)</f>
        <v>0</v>
      </c>
      <c r="R20" s="137">
        <f>SUM(R18:R19)</f>
        <v>0</v>
      </c>
      <c r="S20" s="137">
        <f>SUM(S18:S19)</f>
        <v>0</v>
      </c>
      <c r="T20" s="137">
        <f>SUM(T18:T19)</f>
        <v>0</v>
      </c>
      <c r="U20" s="137">
        <f>SUM(U18:U19)</f>
        <v>0</v>
      </c>
      <c r="V20" s="137">
        <f>SUM(V18:V19)</f>
        <v>0</v>
      </c>
      <c r="W20" s="137">
        <f>SUM(W18:W19)</f>
        <v>0</v>
      </c>
      <c r="X20" s="137">
        <f>SUM(X18:X19)</f>
        <v>0</v>
      </c>
      <c r="Y20" s="137">
        <f>SUM(Y18:Y19)</f>
        <v>0</v>
      </c>
      <c r="Z20" s="137">
        <f>SUM(Z18:Z19)</f>
        <v>0</v>
      </c>
      <c r="AA20" s="137">
        <f>SUM(AA18:AA19)</f>
        <v>0</v>
      </c>
      <c r="AB20" s="137">
        <f>SUM(AB18:AB19)</f>
        <v>0</v>
      </c>
      <c r="AC20" s="137">
        <f>SUM(AC18:AC19)</f>
        <v>0</v>
      </c>
      <c r="AD20" s="137">
        <f>SUM(AD18:AD19)</f>
        <v>0</v>
      </c>
      <c r="AE20" s="137">
        <f>SUM(AE18:AE19)</f>
        <v>0</v>
      </c>
      <c r="AF20" s="137">
        <f>SUM(AF18:AF19)</f>
        <v>0</v>
      </c>
      <c r="AG20" s="137">
        <f>SUM(AG18:AG19)</f>
        <v>0</v>
      </c>
      <c r="AH20" s="137">
        <f>SUM(AH18:AH19)</f>
        <v>0</v>
      </c>
      <c r="AI20" s="137">
        <f>SUM(AI18:AI19)</f>
        <v>0</v>
      </c>
      <c r="AJ20" s="134">
        <f>SUM(F20,H20,J20,L20,N20,P20,R20,T20,V20,X20,Z20,AB20,AD20,AF20,AH20)</f>
        <v>0</v>
      </c>
      <c r="AK20" s="134">
        <f>SUM(G20,I20,K20,M20,O20,Q20,S20,U20,W20,Y20,AA20,AC20,AE20,AG20,AI20)</f>
        <v>0</v>
      </c>
    </row>
    <row r="21" spans="1:37">
      <c r="A21" s="295"/>
      <c r="B21" s="316"/>
      <c r="C21" s="316"/>
      <c r="D21" s="297" t="s">
        <v>153</v>
      </c>
      <c r="E21" s="296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328"/>
      <c r="AJ21" s="134">
        <f>SUM(F21,H21,J21,L21,N21,P21,R21,T21,V21,X21,Z21,AB21,AD21,AF21,AH21)</f>
        <v>0</v>
      </c>
      <c r="AK21" s="134">
        <f>SUM(G21,I21,K21,M21,O21,Q21,S21,U21,W21,Y21,AA21,AC21,AE21,AG21,AI21)</f>
        <v>0</v>
      </c>
    </row>
    <row r="22" spans="1:37">
      <c r="A22" s="295"/>
      <c r="B22" s="316"/>
      <c r="C22" s="313"/>
      <c r="D22" s="297" t="s">
        <v>154</v>
      </c>
      <c r="E22" s="296"/>
      <c r="F22" s="134">
        <f>SUM(F17,F20,F21)</f>
        <v>0</v>
      </c>
      <c r="G22" s="134">
        <f>SUM(G17,G20,G21)</f>
        <v>0</v>
      </c>
      <c r="H22" s="134">
        <f>SUM(H17,H20,H21)</f>
        <v>0</v>
      </c>
      <c r="I22" s="134">
        <f>SUM(I17,I20,I21)</f>
        <v>0</v>
      </c>
      <c r="J22" s="134">
        <f>SUM(J17,J20,J21)</f>
        <v>0</v>
      </c>
      <c r="K22" s="134">
        <f>SUM(K17,K20,K21)</f>
        <v>0</v>
      </c>
      <c r="L22" s="134">
        <f>SUM(L17,L20,L21)</f>
        <v>0</v>
      </c>
      <c r="M22" s="134">
        <f>SUM(M17,M20,M21)</f>
        <v>0</v>
      </c>
      <c r="N22" s="134">
        <f>SUM(N17,N20,N21)</f>
        <v>0</v>
      </c>
      <c r="O22" s="134">
        <f>SUM(O17,O20,O21)</f>
        <v>0</v>
      </c>
      <c r="P22" s="134">
        <f>SUM(P17,P20,P21)</f>
        <v>0</v>
      </c>
      <c r="Q22" s="134">
        <f>SUM(Q17,Q20,Q21)</f>
        <v>0</v>
      </c>
      <c r="R22" s="134">
        <f>SUM(R17,R20,R21)</f>
        <v>0</v>
      </c>
      <c r="S22" s="134">
        <f>SUM(S17,S20,S21)</f>
        <v>0</v>
      </c>
      <c r="T22" s="134">
        <f>SUM(T17,T20,T21)</f>
        <v>0</v>
      </c>
      <c r="U22" s="134">
        <f>SUM(U17,U20,U21)</f>
        <v>0</v>
      </c>
      <c r="V22" s="134">
        <f>SUM(V17,V20,V21)</f>
        <v>0</v>
      </c>
      <c r="W22" s="134">
        <f>SUM(W17,W20,W21)</f>
        <v>0</v>
      </c>
      <c r="X22" s="134">
        <f>SUM(X17,X20,X21)</f>
        <v>0</v>
      </c>
      <c r="Y22" s="134">
        <f>SUM(Y17,Y20,Y21)</f>
        <v>0</v>
      </c>
      <c r="Z22" s="134">
        <f>SUM(Z17,Z20,Z21)</f>
        <v>0</v>
      </c>
      <c r="AA22" s="134">
        <f>SUM(AA17,AA20,AA21)</f>
        <v>0</v>
      </c>
      <c r="AB22" s="134">
        <f>SUM(AB17,AB20,AB21)</f>
        <v>0</v>
      </c>
      <c r="AC22" s="134">
        <f>SUM(AC17,AC20,AC21)</f>
        <v>0</v>
      </c>
      <c r="AD22" s="134">
        <f>SUM(AD17,AD20,AD21)</f>
        <v>0</v>
      </c>
      <c r="AE22" s="134">
        <f>SUM(AE17,AE20,AE21)</f>
        <v>0</v>
      </c>
      <c r="AF22" s="134">
        <f>SUM(AF17,AF20,AF21)</f>
        <v>0</v>
      </c>
      <c r="AG22" s="134">
        <f>SUM(AG17,AG20,AG21)</f>
        <v>0</v>
      </c>
      <c r="AH22" s="134">
        <f>SUM(AH17,AH20,AH21)</f>
        <v>0</v>
      </c>
      <c r="AI22" s="134">
        <f>SUM(AI17,AI20,AI21)</f>
        <v>0</v>
      </c>
      <c r="AJ22" s="134">
        <f>SUM(F22,H22,J22,L22,N22,P22,R22,T22,V22,X22,Z22,AB22,AD22,AF22,AH22)</f>
        <v>0</v>
      </c>
      <c r="AK22" s="134">
        <f>SUM(G22,I22,K22,M22,O22,Q22,S22,U22,W22,Y22,AA22,AC22,AE22,AG22,AI22)</f>
        <v>0</v>
      </c>
    </row>
    <row r="23" spans="1:37">
      <c r="A23" s="295"/>
      <c r="B23" s="313"/>
      <c r="C23" s="333" t="s">
        <v>158</v>
      </c>
      <c r="D23" s="332"/>
      <c r="E23" s="331"/>
      <c r="F23" s="134">
        <f>F16+F22</f>
        <v>0</v>
      </c>
      <c r="G23" s="134">
        <f>G16+G22</f>
        <v>0</v>
      </c>
      <c r="H23" s="134">
        <f>H16+H22</f>
        <v>0</v>
      </c>
      <c r="I23" s="134">
        <f>I16+I22</f>
        <v>0</v>
      </c>
      <c r="J23" s="134">
        <f>J16+J22</f>
        <v>0</v>
      </c>
      <c r="K23" s="134">
        <f>K16+K22</f>
        <v>0</v>
      </c>
      <c r="L23" s="134">
        <f>L16+L22</f>
        <v>0</v>
      </c>
      <c r="M23" s="134">
        <f>M16+M22</f>
        <v>0</v>
      </c>
      <c r="N23" s="134">
        <f>N16+N22</f>
        <v>0</v>
      </c>
      <c r="O23" s="134">
        <f>O16+O22</f>
        <v>0</v>
      </c>
      <c r="P23" s="134">
        <f>P16+P22</f>
        <v>0</v>
      </c>
      <c r="Q23" s="134">
        <f>Q16+Q22</f>
        <v>0</v>
      </c>
      <c r="R23" s="134">
        <f>R16+R22</f>
        <v>0</v>
      </c>
      <c r="S23" s="134">
        <f>S16+S22</f>
        <v>0</v>
      </c>
      <c r="T23" s="134">
        <f>T16+T22</f>
        <v>0</v>
      </c>
      <c r="U23" s="134">
        <f>U16+U22</f>
        <v>0</v>
      </c>
      <c r="V23" s="134">
        <f>V16+V22</f>
        <v>0</v>
      </c>
      <c r="W23" s="134">
        <f>W16+W22</f>
        <v>0</v>
      </c>
      <c r="X23" s="134">
        <f>X16+X22</f>
        <v>0</v>
      </c>
      <c r="Y23" s="134">
        <f>Y16+Y22</f>
        <v>0</v>
      </c>
      <c r="Z23" s="134">
        <f>Z16+Z22</f>
        <v>0</v>
      </c>
      <c r="AA23" s="134">
        <f>AA16+AA22</f>
        <v>0</v>
      </c>
      <c r="AB23" s="134">
        <f>AB16+AB22</f>
        <v>0</v>
      </c>
      <c r="AC23" s="134">
        <f>AC16+AC22</f>
        <v>0</v>
      </c>
      <c r="AD23" s="134">
        <f>AD16+AD22</f>
        <v>0</v>
      </c>
      <c r="AE23" s="134">
        <f>AE16+AE22</f>
        <v>0</v>
      </c>
      <c r="AF23" s="134">
        <f>AF16+AF22</f>
        <v>0</v>
      </c>
      <c r="AG23" s="134">
        <f>AG16+AG22</f>
        <v>0</v>
      </c>
      <c r="AH23" s="134">
        <f>AH16+AH22</f>
        <v>0</v>
      </c>
      <c r="AI23" s="134">
        <f>AI16+AI22</f>
        <v>0</v>
      </c>
      <c r="AJ23" s="134">
        <f>SUM(F23,H23,J23,L23,N23,P23,R23,T23,V23,X23,Z23,AB23,AD23,AF23,AH23)</f>
        <v>0</v>
      </c>
      <c r="AK23" s="134">
        <f>SUM(G23,I23,K23,M23,O23,Q23,S23,U23,W23,Y23,AA23,AC23,AE23,AG23,AI23)</f>
        <v>0</v>
      </c>
    </row>
    <row r="24" spans="1:37">
      <c r="A24" s="295"/>
      <c r="B24" s="211" t="s">
        <v>159</v>
      </c>
      <c r="C24" s="212"/>
      <c r="D24" s="217" t="s">
        <v>148</v>
      </c>
      <c r="E24" s="218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34">
        <f>SUM(F24,H24,J24,L24,N24,P24,R24,T24,V24,X24,Z24,AB24,AD24,AF24,AH24)</f>
        <v>0</v>
      </c>
      <c r="AK24" s="134">
        <f>SUM(G24,I24,K24,M24,O24,Q24,S24,U24,W24,Y24,AA24,AC24,AE24,AG24,AI24)</f>
        <v>0</v>
      </c>
    </row>
    <row r="25" spans="1:37">
      <c r="A25" s="295"/>
      <c r="B25" s="213"/>
      <c r="C25" s="214"/>
      <c r="D25" s="219" t="s">
        <v>149</v>
      </c>
      <c r="E25" s="105" t="s">
        <v>150</v>
      </c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330"/>
      <c r="AJ25" s="134">
        <f>SUM(F25,H25,J25,L25,N25,P25,R25,T25,V25,X25,Z25,AB25,AD25,AF25,AH25)</f>
        <v>0</v>
      </c>
      <c r="AK25" s="134">
        <f>SUM(G25,I25,K25,M25,O25,Q25,S25,U25,W25,Y25,AA25,AC25,AE25,AG25,AI25)</f>
        <v>0</v>
      </c>
    </row>
    <row r="26" spans="1:37">
      <c r="A26" s="295"/>
      <c r="B26" s="213"/>
      <c r="C26" s="214"/>
      <c r="D26" s="220"/>
      <c r="E26" s="108" t="s">
        <v>151</v>
      </c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329"/>
      <c r="AJ26" s="134">
        <f>SUM(F26,H26,J26,L26,N26,P26,R26,T26,V26,X26,Z26,AB26,AD26,AF26,AH26)</f>
        <v>0</v>
      </c>
      <c r="AK26" s="134">
        <f>SUM(G26,I26,K26,M26,O26,Q26,S26,U26,W26,Y26,AA26,AC26,AE26,AG26,AI26)</f>
        <v>0</v>
      </c>
    </row>
    <row r="27" spans="1:37">
      <c r="A27" s="295"/>
      <c r="B27" s="213"/>
      <c r="C27" s="214"/>
      <c r="D27" s="221"/>
      <c r="E27" s="111" t="s">
        <v>152</v>
      </c>
      <c r="F27" s="137">
        <f>SUM(F25:F26)</f>
        <v>0</v>
      </c>
      <c r="G27" s="137">
        <f>SUM(G25:G26)</f>
        <v>0</v>
      </c>
      <c r="H27" s="137">
        <f>SUM(H25:H26)</f>
        <v>0</v>
      </c>
      <c r="I27" s="137">
        <f>SUM(I25:I26)</f>
        <v>0</v>
      </c>
      <c r="J27" s="137">
        <f>SUM(J25:J26)</f>
        <v>0</v>
      </c>
      <c r="K27" s="137">
        <f>SUM(K25:K26)</f>
        <v>0</v>
      </c>
      <c r="L27" s="137">
        <f>SUM(L25:L26)</f>
        <v>0</v>
      </c>
      <c r="M27" s="137">
        <f>SUM(M25:M26)</f>
        <v>0</v>
      </c>
      <c r="N27" s="137">
        <f>SUM(N25:N26)</f>
        <v>0</v>
      </c>
      <c r="O27" s="137">
        <f>SUM(O25:O26)</f>
        <v>0</v>
      </c>
      <c r="P27" s="137">
        <f>SUM(P25:P26)</f>
        <v>0</v>
      </c>
      <c r="Q27" s="137">
        <f>SUM(Q25:Q26)</f>
        <v>0</v>
      </c>
      <c r="R27" s="137">
        <f>SUM(R25:R26)</f>
        <v>0</v>
      </c>
      <c r="S27" s="137">
        <f>SUM(S25:S26)</f>
        <v>0</v>
      </c>
      <c r="T27" s="137">
        <f>SUM(T25:T26)</f>
        <v>0</v>
      </c>
      <c r="U27" s="137">
        <f>SUM(U25:U26)</f>
        <v>0</v>
      </c>
      <c r="V27" s="137">
        <f>SUM(V25:V26)</f>
        <v>0</v>
      </c>
      <c r="W27" s="137">
        <f>SUM(W25:W26)</f>
        <v>0</v>
      </c>
      <c r="X27" s="137">
        <f>SUM(X25:X26)</f>
        <v>0</v>
      </c>
      <c r="Y27" s="137">
        <f>SUM(Y25:Y26)</f>
        <v>0</v>
      </c>
      <c r="Z27" s="137">
        <f>SUM(Z25:Z26)</f>
        <v>0</v>
      </c>
      <c r="AA27" s="137">
        <f>SUM(AA25:AA26)</f>
        <v>0</v>
      </c>
      <c r="AB27" s="137">
        <f>SUM(AB25:AB26)</f>
        <v>0</v>
      </c>
      <c r="AC27" s="137">
        <f>SUM(AC25:AC26)</f>
        <v>0</v>
      </c>
      <c r="AD27" s="137">
        <f>SUM(AD25:AD26)</f>
        <v>0</v>
      </c>
      <c r="AE27" s="137">
        <f>SUM(AE25:AE26)</f>
        <v>0</v>
      </c>
      <c r="AF27" s="137">
        <f>SUM(AF25:AF26)</f>
        <v>0</v>
      </c>
      <c r="AG27" s="137">
        <f>SUM(AG25:AG26)</f>
        <v>0</v>
      </c>
      <c r="AH27" s="137">
        <f>SUM(AH25:AH26)</f>
        <v>0</v>
      </c>
      <c r="AI27" s="137">
        <f>SUM(AI25:AI26)</f>
        <v>0</v>
      </c>
      <c r="AJ27" s="134">
        <f>SUM(F27,H27,J27,L27,N27,P27,R27,T27,V27,X27,Z27,AB27,AD27,AF27,AH27)</f>
        <v>0</v>
      </c>
      <c r="AK27" s="134">
        <f>SUM(G27,I27,K27,M27,O27,Q27,S27,U27,W27,Y27,AA27,AC27,AE27,AG27,AI27)</f>
        <v>0</v>
      </c>
    </row>
    <row r="28" spans="1:37">
      <c r="A28" s="295"/>
      <c r="B28" s="213"/>
      <c r="C28" s="214"/>
      <c r="D28" s="217" t="s">
        <v>153</v>
      </c>
      <c r="E28" s="218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328"/>
      <c r="AJ28" s="134">
        <f>SUM(F28,H28,J28,L28,N28,P28,R28,T28,V28,X28,Z28,AB28,AD28,AF28,AH28)</f>
        <v>0</v>
      </c>
      <c r="AK28" s="134">
        <f>SUM(G28,I28,K28,M28,O28,Q28,S28,U28,W28,Y28,AA28,AC28,AE28,AG28,AI28)</f>
        <v>0</v>
      </c>
    </row>
    <row r="29" spans="1:37">
      <c r="A29" s="295"/>
      <c r="B29" s="215"/>
      <c r="C29" s="216"/>
      <c r="D29" s="217" t="s">
        <v>154</v>
      </c>
      <c r="E29" s="218"/>
      <c r="F29" s="134">
        <f>SUM(F24,F27,F28)</f>
        <v>0</v>
      </c>
      <c r="G29" s="134">
        <f>SUM(G24,G27,G28)</f>
        <v>0</v>
      </c>
      <c r="H29" s="134">
        <f>SUM(H24,H27,H28)</f>
        <v>0</v>
      </c>
      <c r="I29" s="134">
        <f>SUM(I24,I27,I28)</f>
        <v>0</v>
      </c>
      <c r="J29" s="134">
        <f>SUM(J24,J27,J28)</f>
        <v>0</v>
      </c>
      <c r="K29" s="134">
        <f>SUM(K24,K27,K28)</f>
        <v>0</v>
      </c>
      <c r="L29" s="134">
        <f>SUM(L24,L27,L28)</f>
        <v>0</v>
      </c>
      <c r="M29" s="134">
        <f>SUM(M24,M27,M28)</f>
        <v>0</v>
      </c>
      <c r="N29" s="134">
        <f>SUM(N24,N27,N28)</f>
        <v>0</v>
      </c>
      <c r="O29" s="134">
        <f>SUM(O24,O27,O28)</f>
        <v>0</v>
      </c>
      <c r="P29" s="134">
        <f>SUM(P24,P27,P28)</f>
        <v>0</v>
      </c>
      <c r="Q29" s="134">
        <f>SUM(Q24,Q27,Q28)</f>
        <v>0</v>
      </c>
      <c r="R29" s="134">
        <f>SUM(R24,R27,R28)</f>
        <v>0</v>
      </c>
      <c r="S29" s="134">
        <f>SUM(S24,S27,S28)</f>
        <v>0</v>
      </c>
      <c r="T29" s="134">
        <f>SUM(T24,T27,T28)</f>
        <v>0</v>
      </c>
      <c r="U29" s="134">
        <f>SUM(U24,U27,U28)</f>
        <v>0</v>
      </c>
      <c r="V29" s="134">
        <f>SUM(V24,V27,V28)</f>
        <v>0</v>
      </c>
      <c r="W29" s="134">
        <f>SUM(W24,W27,W28)</f>
        <v>0</v>
      </c>
      <c r="X29" s="134">
        <f>SUM(X24,X27,X28)</f>
        <v>0</v>
      </c>
      <c r="Y29" s="134">
        <f>SUM(Y24,Y27,Y28)</f>
        <v>0</v>
      </c>
      <c r="Z29" s="134">
        <f>SUM(Z24,Z27,Z28)</f>
        <v>0</v>
      </c>
      <c r="AA29" s="134">
        <f>SUM(AA24,AA27,AA28)</f>
        <v>0</v>
      </c>
      <c r="AB29" s="134">
        <f>SUM(AB24,AB27,AB28)</f>
        <v>0</v>
      </c>
      <c r="AC29" s="134">
        <f>SUM(AC24,AC27,AC28)</f>
        <v>0</v>
      </c>
      <c r="AD29" s="134">
        <f>SUM(AD24,AD27,AD28)</f>
        <v>0</v>
      </c>
      <c r="AE29" s="134">
        <f>SUM(AE24,AE27,AE28)</f>
        <v>0</v>
      </c>
      <c r="AF29" s="134">
        <f>SUM(AF24,AF27,AF28)</f>
        <v>0</v>
      </c>
      <c r="AG29" s="134">
        <f>SUM(AG24,AG27,AG28)</f>
        <v>0</v>
      </c>
      <c r="AH29" s="134">
        <f>SUM(AH24,AH27,AH28)</f>
        <v>0</v>
      </c>
      <c r="AI29" s="134">
        <f>SUM(AI24,AI27,AI28)</f>
        <v>0</v>
      </c>
      <c r="AJ29" s="134">
        <f>SUM(F29,H29,J29,L29,N29,P29,R29,T29,V29,X29,Z29,AB29,AD29,AF29,AH29)</f>
        <v>0</v>
      </c>
      <c r="AK29" s="134">
        <f>SUM(G29,I29,K29,M29,O29,Q29,S29,U29,W29,Y29,AA29,AC29,AE29,AG29,AI29)</f>
        <v>0</v>
      </c>
    </row>
    <row r="30" spans="1:37">
      <c r="A30" s="295"/>
      <c r="B30" s="203" t="s">
        <v>144</v>
      </c>
      <c r="C30" s="204"/>
      <c r="D30" s="204"/>
      <c r="E30" s="205"/>
      <c r="F30" s="134">
        <f>SUM(F10,F23,F29)</f>
        <v>0</v>
      </c>
      <c r="G30" s="134">
        <f>SUM(G10,G23,G29)</f>
        <v>0</v>
      </c>
      <c r="H30" s="134">
        <f>SUM(H10,H23,H29)</f>
        <v>0</v>
      </c>
      <c r="I30" s="134">
        <f>SUM(I10,I23,I29)</f>
        <v>0</v>
      </c>
      <c r="J30" s="134">
        <f>SUM(J10,J23,J29)</f>
        <v>0</v>
      </c>
      <c r="K30" s="134">
        <f>SUM(K10,K23,K29)</f>
        <v>0</v>
      </c>
      <c r="L30" s="134">
        <f>SUM(L10,L23,L29)</f>
        <v>0</v>
      </c>
      <c r="M30" s="134">
        <f>SUM(M10,M23,M29)</f>
        <v>0</v>
      </c>
      <c r="N30" s="134">
        <f>SUM(N10,N23,N29)</f>
        <v>0</v>
      </c>
      <c r="O30" s="134">
        <f>SUM(O10,O23,O29)</f>
        <v>0</v>
      </c>
      <c r="P30" s="134">
        <f>SUM(P10,P23,P29)</f>
        <v>0</v>
      </c>
      <c r="Q30" s="134">
        <f>SUM(Q10,Q23,Q29)</f>
        <v>0</v>
      </c>
      <c r="R30" s="134">
        <f>SUM(R10,R23,R29)</f>
        <v>0</v>
      </c>
      <c r="S30" s="134">
        <f>SUM(S10,S23,S29)</f>
        <v>0</v>
      </c>
      <c r="T30" s="134">
        <f>SUM(T10,T23,T29)</f>
        <v>0</v>
      </c>
      <c r="U30" s="134">
        <f>SUM(U10,U23,U29)</f>
        <v>0</v>
      </c>
      <c r="V30" s="134">
        <f>SUM(V10,V23,V29)</f>
        <v>0</v>
      </c>
      <c r="W30" s="134">
        <f>SUM(W10,W23,W29)</f>
        <v>0</v>
      </c>
      <c r="X30" s="134">
        <f>SUM(X10,X23,X29)</f>
        <v>0</v>
      </c>
      <c r="Y30" s="134">
        <f>SUM(Y10,Y23,Y29)</f>
        <v>0</v>
      </c>
      <c r="Z30" s="134">
        <f>SUM(Z10,Z23,Z29)</f>
        <v>0</v>
      </c>
      <c r="AA30" s="134">
        <f>SUM(AA10,AA23,AA29)</f>
        <v>0</v>
      </c>
      <c r="AB30" s="134">
        <f>SUM(AB10,AB23,AB29)</f>
        <v>0</v>
      </c>
      <c r="AC30" s="134">
        <f>SUM(AC10,AC23,AC29)</f>
        <v>0</v>
      </c>
      <c r="AD30" s="134">
        <f>SUM(AD10,AD23,AD29)</f>
        <v>0</v>
      </c>
      <c r="AE30" s="134">
        <f>SUM(AE10,AE23,AE29)</f>
        <v>0</v>
      </c>
      <c r="AF30" s="134">
        <f>SUM(AF10,AF23,AF29)</f>
        <v>0</v>
      </c>
      <c r="AG30" s="134">
        <f>SUM(AG10,AG23,AG29)</f>
        <v>0</v>
      </c>
      <c r="AH30" s="134">
        <f>SUM(AH10,AH23,AH29)</f>
        <v>0</v>
      </c>
      <c r="AI30" s="134">
        <f>SUM(AI10,AI23,AI29)</f>
        <v>0</v>
      </c>
      <c r="AJ30" s="134">
        <f>SUM(F30,H30,J30,L30,N30,P30,R30,T30,V30,X30,Z30,AB30,AD30,AF30,AH30)</f>
        <v>0</v>
      </c>
      <c r="AK30" s="134">
        <f>SUM(G30,I30,K30,M30,O30,Q30,S30,U30,W30,Y30,AA30,AC30,AE30,AG30,AI30)</f>
        <v>0</v>
      </c>
    </row>
    <row r="31" spans="1:37" s="94" customFormat="1">
      <c r="A31" s="285"/>
      <c r="B31" s="285"/>
      <c r="C31" s="327"/>
      <c r="D31" s="327"/>
      <c r="E31" s="327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</row>
    <row r="32" spans="1:37">
      <c r="A32" s="116" t="s">
        <v>0</v>
      </c>
      <c r="B32" s="116"/>
      <c r="C32" s="116"/>
      <c r="AH32" s="94"/>
      <c r="AI32" s="94"/>
      <c r="AJ32" s="94"/>
      <c r="AK32" s="94"/>
    </row>
    <row r="33" spans="1:11" s="94" customFormat="1">
      <c r="A33" s="288" t="s">
        <v>217</v>
      </c>
      <c r="B33" s="288"/>
      <c r="C33" s="286"/>
      <c r="D33" s="92"/>
      <c r="E33" s="92"/>
      <c r="F33" s="92"/>
      <c r="G33" s="92"/>
      <c r="H33" s="92"/>
      <c r="I33" s="92"/>
      <c r="J33" s="92"/>
      <c r="K33" s="92"/>
    </row>
    <row r="34" spans="1:11" s="94" customFormat="1">
      <c r="A34" s="288" t="s">
        <v>218</v>
      </c>
      <c r="B34" s="288"/>
      <c r="C34" s="286"/>
      <c r="D34" s="92"/>
      <c r="E34" s="92"/>
      <c r="F34" s="92"/>
      <c r="G34" s="92"/>
      <c r="H34" s="92"/>
      <c r="I34" s="92"/>
      <c r="J34" s="92"/>
      <c r="K34" s="92"/>
    </row>
    <row r="35" spans="1:11" s="94" customFormat="1">
      <c r="A35" s="280" t="s">
        <v>251</v>
      </c>
      <c r="B35" s="280"/>
      <c r="C35" s="286"/>
      <c r="D35" s="92"/>
      <c r="E35" s="92"/>
      <c r="F35" s="92"/>
      <c r="G35" s="92"/>
      <c r="H35" s="92"/>
      <c r="I35" s="92"/>
      <c r="J35" s="92"/>
      <c r="K35" s="92"/>
    </row>
    <row r="36" spans="1:11" s="323" customFormat="1">
      <c r="A36" s="280" t="s">
        <v>252</v>
      </c>
      <c r="B36" s="280"/>
      <c r="C36" s="286"/>
      <c r="D36" s="92"/>
      <c r="E36" s="92"/>
      <c r="F36" s="92"/>
      <c r="G36" s="92"/>
      <c r="H36" s="92"/>
      <c r="I36" s="324"/>
    </row>
    <row r="37" spans="1:11">
      <c r="A37" s="116" t="s">
        <v>221</v>
      </c>
      <c r="B37" s="116"/>
      <c r="C37" s="8"/>
      <c r="D37" s="8"/>
      <c r="E37" s="8"/>
      <c r="F37" s="8"/>
      <c r="G37" s="8"/>
      <c r="H37" s="8"/>
      <c r="I37" s="8"/>
      <c r="J37" s="8"/>
      <c r="K37" s="8"/>
    </row>
    <row r="39" spans="1:11">
      <c r="A39" s="326"/>
      <c r="B39" s="326"/>
      <c r="E39" s="8"/>
      <c r="F39" s="8"/>
      <c r="G39" s="8"/>
    </row>
    <row r="40" spans="1:11" s="323" customFormat="1">
      <c r="A40" s="326"/>
      <c r="B40" s="326"/>
      <c r="C40" s="325"/>
      <c r="D40" s="324"/>
      <c r="E40" s="324"/>
      <c r="F40" s="324"/>
      <c r="G40" s="324"/>
      <c r="H40" s="324"/>
      <c r="I40" s="324"/>
    </row>
    <row r="41" spans="1:11" s="323" customFormat="1">
      <c r="A41" s="326"/>
      <c r="B41" s="326"/>
      <c r="C41" s="325"/>
      <c r="D41" s="324"/>
      <c r="E41" s="324"/>
      <c r="F41" s="324"/>
      <c r="G41" s="324"/>
      <c r="H41" s="324"/>
      <c r="I41" s="324"/>
    </row>
    <row r="43" spans="1:11" s="94" customFormat="1">
      <c r="A43" s="326"/>
      <c r="B43" s="326"/>
      <c r="C43" s="286"/>
      <c r="D43" s="92"/>
      <c r="E43" s="92"/>
      <c r="F43" s="92"/>
      <c r="G43" s="92"/>
      <c r="H43" s="92"/>
      <c r="I43" s="92"/>
    </row>
    <row r="44" spans="1:11" s="323" customFormat="1">
      <c r="A44" s="326"/>
      <c r="B44" s="326"/>
      <c r="C44" s="325"/>
      <c r="D44" s="324"/>
      <c r="E44" s="324"/>
      <c r="F44" s="324"/>
      <c r="G44" s="324"/>
      <c r="H44" s="324"/>
      <c r="I44" s="324"/>
    </row>
    <row r="45" spans="1:11" s="323" customFormat="1">
      <c r="A45" s="326"/>
      <c r="B45" s="326"/>
      <c r="C45" s="325"/>
      <c r="D45" s="324"/>
      <c r="E45" s="324"/>
      <c r="F45" s="324"/>
      <c r="G45" s="324"/>
      <c r="H45" s="324"/>
      <c r="I45" s="324"/>
    </row>
  </sheetData>
  <mergeCells count="40">
    <mergeCell ref="D15:E15"/>
    <mergeCell ref="D16:E16"/>
    <mergeCell ref="C17:C22"/>
    <mergeCell ref="D17:E17"/>
    <mergeCell ref="B30:E30"/>
    <mergeCell ref="D22:E22"/>
    <mergeCell ref="C23:E23"/>
    <mergeCell ref="B24:C29"/>
    <mergeCell ref="D24:E24"/>
    <mergeCell ref="D25:D27"/>
    <mergeCell ref="D28:E28"/>
    <mergeCell ref="D29:E29"/>
    <mergeCell ref="B11:B23"/>
    <mergeCell ref="C11:C16"/>
    <mergeCell ref="D18:D20"/>
    <mergeCell ref="D21:E21"/>
    <mergeCell ref="AB3:AC3"/>
    <mergeCell ref="AD3:AE3"/>
    <mergeCell ref="AF3:AG3"/>
    <mergeCell ref="J3:K3"/>
    <mergeCell ref="L3:M3"/>
    <mergeCell ref="N3:O3"/>
    <mergeCell ref="D11:E11"/>
    <mergeCell ref="D12:D14"/>
    <mergeCell ref="V3:W3"/>
    <mergeCell ref="X3:Y3"/>
    <mergeCell ref="Z3:AA3"/>
    <mergeCell ref="A3:E4"/>
    <mergeCell ref="F3:G3"/>
    <mergeCell ref="H3:I3"/>
    <mergeCell ref="AH3:AI3"/>
    <mergeCell ref="AJ3:AK3"/>
    <mergeCell ref="B5:C10"/>
    <mergeCell ref="D5:E5"/>
    <mergeCell ref="D6:D8"/>
    <mergeCell ref="D9:E9"/>
    <mergeCell ref="D10:E10"/>
    <mergeCell ref="P3:Q3"/>
    <mergeCell ref="R3:S3"/>
    <mergeCell ref="T3:U3"/>
  </mergeCells>
  <phoneticPr fontId="7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1F062-ECEA-4871-A03C-A74E085D9FB0}">
  <sheetPr>
    <tabColor rgb="FFFFFF00"/>
  </sheetPr>
  <dimension ref="A1:Y45"/>
  <sheetViews>
    <sheetView zoomScale="70" zoomScaleNormal="70" workbookViewId="0">
      <selection activeCell="N23" sqref="N23"/>
    </sheetView>
  </sheetViews>
  <sheetFormatPr defaultColWidth="8.88671875" defaultRowHeight="16.5"/>
  <cols>
    <col min="1" max="2" width="4.44140625" style="82" customWidth="1"/>
    <col min="3" max="3" width="7" style="82" customWidth="1"/>
    <col min="4" max="4" width="4.21875" style="82" customWidth="1"/>
    <col min="5" max="5" width="11.6640625" style="82" customWidth="1"/>
    <col min="6" max="25" width="8.109375" style="82" customWidth="1"/>
    <col min="26" max="16384" width="8.88671875" style="82"/>
  </cols>
  <sheetData>
    <row r="1" spans="1:25" ht="26.25">
      <c r="A1" s="95" t="s">
        <v>208</v>
      </c>
      <c r="B1" s="95"/>
      <c r="C1" s="96"/>
      <c r="S1" s="97"/>
      <c r="T1" s="97"/>
      <c r="U1" s="97"/>
      <c r="V1" s="97"/>
      <c r="W1" s="97"/>
    </row>
    <row r="2" spans="1:25" ht="20.25">
      <c r="A2" s="98"/>
      <c r="B2" s="98"/>
      <c r="C2" s="96"/>
      <c r="Y2" s="99" t="s">
        <v>138</v>
      </c>
    </row>
    <row r="3" spans="1:25" ht="33" customHeight="1">
      <c r="A3" s="226" t="s">
        <v>12</v>
      </c>
      <c r="B3" s="227"/>
      <c r="C3" s="228"/>
      <c r="D3" s="228"/>
      <c r="E3" s="229"/>
      <c r="F3" s="345" t="s">
        <v>293</v>
      </c>
      <c r="G3" s="345"/>
      <c r="H3" s="346" t="s">
        <v>294</v>
      </c>
      <c r="I3" s="345"/>
      <c r="J3" s="346" t="s">
        <v>295</v>
      </c>
      <c r="K3" s="345"/>
      <c r="L3" s="346" t="s">
        <v>296</v>
      </c>
      <c r="M3" s="345"/>
      <c r="N3" s="346" t="s">
        <v>297</v>
      </c>
      <c r="O3" s="345"/>
      <c r="P3" s="346" t="s">
        <v>298</v>
      </c>
      <c r="Q3" s="345"/>
      <c r="R3" s="346" t="s">
        <v>299</v>
      </c>
      <c r="S3" s="345"/>
      <c r="T3" s="346" t="s">
        <v>249</v>
      </c>
      <c r="U3" s="345"/>
      <c r="V3" s="346" t="s">
        <v>250</v>
      </c>
      <c r="W3" s="347"/>
      <c r="X3" s="348" t="s">
        <v>144</v>
      </c>
      <c r="Y3" s="349"/>
    </row>
    <row r="4" spans="1:25">
      <c r="A4" s="230"/>
      <c r="B4" s="231"/>
      <c r="C4" s="231"/>
      <c r="D4" s="231"/>
      <c r="E4" s="232"/>
      <c r="F4" s="165" t="s">
        <v>145</v>
      </c>
      <c r="G4" s="164" t="s">
        <v>146</v>
      </c>
      <c r="H4" s="165" t="s">
        <v>145</v>
      </c>
      <c r="I4" s="164" t="s">
        <v>146</v>
      </c>
      <c r="J4" s="165" t="s">
        <v>145</v>
      </c>
      <c r="K4" s="164" t="s">
        <v>146</v>
      </c>
      <c r="L4" s="165" t="s">
        <v>145</v>
      </c>
      <c r="M4" s="164" t="s">
        <v>146</v>
      </c>
      <c r="N4" s="165" t="s">
        <v>145</v>
      </c>
      <c r="O4" s="164" t="s">
        <v>146</v>
      </c>
      <c r="P4" s="165" t="s">
        <v>145</v>
      </c>
      <c r="Q4" s="164" t="s">
        <v>146</v>
      </c>
      <c r="R4" s="165" t="s">
        <v>145</v>
      </c>
      <c r="S4" s="164" t="s">
        <v>146</v>
      </c>
      <c r="T4" s="165" t="s">
        <v>145</v>
      </c>
      <c r="U4" s="164" t="s">
        <v>146</v>
      </c>
      <c r="V4" s="165" t="s">
        <v>145</v>
      </c>
      <c r="W4" s="164" t="s">
        <v>146</v>
      </c>
      <c r="X4" s="165" t="s">
        <v>145</v>
      </c>
      <c r="Y4" s="164" t="s">
        <v>146</v>
      </c>
    </row>
    <row r="5" spans="1:25">
      <c r="A5" s="102"/>
      <c r="B5" s="211" t="s">
        <v>147</v>
      </c>
      <c r="C5" s="212"/>
      <c r="D5" s="217" t="s">
        <v>148</v>
      </c>
      <c r="E5" s="218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34">
        <f>SUM(F5,H5,J5,L5,N5,P5,R5,T5,V5)</f>
        <v>0</v>
      </c>
      <c r="Y5" s="134">
        <f>SUM(G5,I5,K5,M5,O5,Q5,S5,U5,W5)</f>
        <v>0</v>
      </c>
    </row>
    <row r="6" spans="1:25">
      <c r="A6" s="102"/>
      <c r="B6" s="213"/>
      <c r="C6" s="214"/>
      <c r="D6" s="219" t="s">
        <v>149</v>
      </c>
      <c r="E6" s="105" t="s">
        <v>150</v>
      </c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4">
        <f>SUM(F6,H6,J6,L6,N6,P6,R6,T6,V6)</f>
        <v>0</v>
      </c>
      <c r="Y6" s="134">
        <f>SUM(G6,I6,K6,M6,O6,Q6,S6,U6,W6)</f>
        <v>0</v>
      </c>
    </row>
    <row r="7" spans="1:25">
      <c r="A7" s="102"/>
      <c r="B7" s="213"/>
      <c r="C7" s="214"/>
      <c r="D7" s="220"/>
      <c r="E7" s="108" t="s">
        <v>151</v>
      </c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4">
        <f>SUM(F7,H7,J7,L7,N7,P7,R7,T7,V7)</f>
        <v>0</v>
      </c>
      <c r="Y7" s="134">
        <f>SUM(G7,I7,K7,M7,O7,Q7,S7,U7,W7)</f>
        <v>0</v>
      </c>
    </row>
    <row r="8" spans="1:25">
      <c r="A8" s="102"/>
      <c r="B8" s="213"/>
      <c r="C8" s="214"/>
      <c r="D8" s="221"/>
      <c r="E8" s="111" t="s">
        <v>152</v>
      </c>
      <c r="F8" s="137">
        <f>SUM(F6:F7)</f>
        <v>0</v>
      </c>
      <c r="G8" s="137">
        <f t="shared" ref="G8:W8" si="0">SUM(G6:G7)</f>
        <v>0</v>
      </c>
      <c r="H8" s="137">
        <f t="shared" si="0"/>
        <v>0</v>
      </c>
      <c r="I8" s="137">
        <f t="shared" si="0"/>
        <v>0</v>
      </c>
      <c r="J8" s="137">
        <f t="shared" si="0"/>
        <v>0</v>
      </c>
      <c r="K8" s="137">
        <f t="shared" si="0"/>
        <v>0</v>
      </c>
      <c r="L8" s="137">
        <f t="shared" si="0"/>
        <v>0</v>
      </c>
      <c r="M8" s="137">
        <f t="shared" si="0"/>
        <v>0</v>
      </c>
      <c r="N8" s="137">
        <f t="shared" si="0"/>
        <v>0</v>
      </c>
      <c r="O8" s="137">
        <f t="shared" si="0"/>
        <v>0</v>
      </c>
      <c r="P8" s="137">
        <f t="shared" si="0"/>
        <v>0</v>
      </c>
      <c r="Q8" s="137">
        <f t="shared" si="0"/>
        <v>0</v>
      </c>
      <c r="R8" s="137">
        <f t="shared" si="0"/>
        <v>0</v>
      </c>
      <c r="S8" s="137">
        <f t="shared" si="0"/>
        <v>0</v>
      </c>
      <c r="T8" s="137">
        <f t="shared" si="0"/>
        <v>0</v>
      </c>
      <c r="U8" s="137">
        <f t="shared" si="0"/>
        <v>0</v>
      </c>
      <c r="V8" s="137">
        <f t="shared" si="0"/>
        <v>0</v>
      </c>
      <c r="W8" s="137">
        <f t="shared" si="0"/>
        <v>0</v>
      </c>
      <c r="X8" s="134">
        <f>SUM(F8,H8,J8,L8,N8,P8,R8,T8,V8)</f>
        <v>0</v>
      </c>
      <c r="Y8" s="134">
        <f>SUM(G8,I8,K8,M8,O8,Q8,S8,U8,W8)</f>
        <v>0</v>
      </c>
    </row>
    <row r="9" spans="1:25">
      <c r="A9" s="102"/>
      <c r="B9" s="213"/>
      <c r="C9" s="214"/>
      <c r="D9" s="217" t="s">
        <v>153</v>
      </c>
      <c r="E9" s="218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34">
        <f>SUM(F9,H9,J9,L9,N9,P9,R9,T9,V9)</f>
        <v>0</v>
      </c>
      <c r="Y9" s="134">
        <f>SUM(G9,I9,K9,M9,O9,Q9,S9,U9,W9)</f>
        <v>0</v>
      </c>
    </row>
    <row r="10" spans="1:25">
      <c r="A10" s="102"/>
      <c r="B10" s="215"/>
      <c r="C10" s="216"/>
      <c r="D10" s="217" t="s">
        <v>154</v>
      </c>
      <c r="E10" s="218"/>
      <c r="F10" s="134">
        <f t="shared" ref="F10:W10" si="1">SUM(F5,F8,F9)</f>
        <v>0</v>
      </c>
      <c r="G10" s="134">
        <f t="shared" si="1"/>
        <v>0</v>
      </c>
      <c r="H10" s="134">
        <f t="shared" si="1"/>
        <v>0</v>
      </c>
      <c r="I10" s="134">
        <f t="shared" si="1"/>
        <v>0</v>
      </c>
      <c r="J10" s="134">
        <f t="shared" si="1"/>
        <v>0</v>
      </c>
      <c r="K10" s="134">
        <f t="shared" si="1"/>
        <v>0</v>
      </c>
      <c r="L10" s="134">
        <f t="shared" si="1"/>
        <v>0</v>
      </c>
      <c r="M10" s="134">
        <f t="shared" si="1"/>
        <v>0</v>
      </c>
      <c r="N10" s="134">
        <f t="shared" si="1"/>
        <v>0</v>
      </c>
      <c r="O10" s="134">
        <f t="shared" si="1"/>
        <v>0</v>
      </c>
      <c r="P10" s="134">
        <f t="shared" si="1"/>
        <v>0</v>
      </c>
      <c r="Q10" s="134">
        <f t="shared" si="1"/>
        <v>0</v>
      </c>
      <c r="R10" s="134">
        <f t="shared" si="1"/>
        <v>0</v>
      </c>
      <c r="S10" s="134">
        <f t="shared" si="1"/>
        <v>0</v>
      </c>
      <c r="T10" s="134">
        <f t="shared" si="1"/>
        <v>0</v>
      </c>
      <c r="U10" s="134">
        <f t="shared" si="1"/>
        <v>0</v>
      </c>
      <c r="V10" s="134">
        <f t="shared" si="1"/>
        <v>0</v>
      </c>
      <c r="W10" s="134">
        <f t="shared" si="1"/>
        <v>0</v>
      </c>
      <c r="X10" s="134">
        <f>SUM(F10,H10,J10,L10,N10,P10,R10,T10,V10)</f>
        <v>0</v>
      </c>
      <c r="Y10" s="134">
        <f>SUM(G10,I10,K10,M10,O10,Q10,S10,U10,W10)</f>
        <v>0</v>
      </c>
    </row>
    <row r="11" spans="1:25">
      <c r="A11" s="102"/>
      <c r="B11" s="222" t="s">
        <v>155</v>
      </c>
      <c r="C11" s="222" t="s">
        <v>215</v>
      </c>
      <c r="D11" s="217" t="s">
        <v>148</v>
      </c>
      <c r="E11" s="218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34">
        <f>SUM(F11,H11,J11,L11,N11,P11,R11,T11,V11)</f>
        <v>0</v>
      </c>
      <c r="Y11" s="134">
        <f>SUM(G11,I11,K11,M11,O11,Q11,S11,U11,W11)</f>
        <v>0</v>
      </c>
    </row>
    <row r="12" spans="1:25">
      <c r="A12" s="102"/>
      <c r="B12" s="223"/>
      <c r="C12" s="223"/>
      <c r="D12" s="219" t="s">
        <v>149</v>
      </c>
      <c r="E12" s="105" t="s">
        <v>150</v>
      </c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4">
        <f>SUM(F12,H12,J12,L12,N12,P12,R12,T12,V12)</f>
        <v>0</v>
      </c>
      <c r="Y12" s="134">
        <f>SUM(G12,I12,K12,M12,O12,Q12,S12,U12,W12)</f>
        <v>0</v>
      </c>
    </row>
    <row r="13" spans="1:25">
      <c r="A13" s="102"/>
      <c r="B13" s="223"/>
      <c r="C13" s="223"/>
      <c r="D13" s="220"/>
      <c r="E13" s="108" t="s">
        <v>151</v>
      </c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4">
        <f>SUM(F13,H13,J13,L13,N13,P13,R13,T13,V13)</f>
        <v>0</v>
      </c>
      <c r="Y13" s="134">
        <f>SUM(G13,I13,K13,M13,O13,Q13,S13,U13,W13)</f>
        <v>0</v>
      </c>
    </row>
    <row r="14" spans="1:25">
      <c r="A14" s="102"/>
      <c r="B14" s="223"/>
      <c r="C14" s="223"/>
      <c r="D14" s="221"/>
      <c r="E14" s="111" t="s">
        <v>152</v>
      </c>
      <c r="F14" s="137">
        <f>SUM(F12:F13)</f>
        <v>0</v>
      </c>
      <c r="G14" s="137">
        <f t="shared" ref="G14:W14" si="2">SUM(G12:G13)</f>
        <v>0</v>
      </c>
      <c r="H14" s="137">
        <f t="shared" si="2"/>
        <v>0</v>
      </c>
      <c r="I14" s="137">
        <f t="shared" si="2"/>
        <v>0</v>
      </c>
      <c r="J14" s="137">
        <f t="shared" si="2"/>
        <v>0</v>
      </c>
      <c r="K14" s="137">
        <f t="shared" si="2"/>
        <v>0</v>
      </c>
      <c r="L14" s="137">
        <f t="shared" si="2"/>
        <v>0</v>
      </c>
      <c r="M14" s="137">
        <f t="shared" si="2"/>
        <v>0</v>
      </c>
      <c r="N14" s="137">
        <f t="shared" si="2"/>
        <v>0</v>
      </c>
      <c r="O14" s="137">
        <f t="shared" si="2"/>
        <v>0</v>
      </c>
      <c r="P14" s="137">
        <f t="shared" si="2"/>
        <v>0</v>
      </c>
      <c r="Q14" s="137">
        <f t="shared" si="2"/>
        <v>0</v>
      </c>
      <c r="R14" s="137">
        <f t="shared" si="2"/>
        <v>0</v>
      </c>
      <c r="S14" s="137">
        <f t="shared" si="2"/>
        <v>0</v>
      </c>
      <c r="T14" s="137">
        <f t="shared" si="2"/>
        <v>0</v>
      </c>
      <c r="U14" s="137">
        <f t="shared" si="2"/>
        <v>0</v>
      </c>
      <c r="V14" s="137">
        <f t="shared" si="2"/>
        <v>0</v>
      </c>
      <c r="W14" s="137">
        <f t="shared" si="2"/>
        <v>0</v>
      </c>
      <c r="X14" s="134">
        <f>SUM(F14,H14,J14,L14,N14,P14,R14,T14,V14)</f>
        <v>0</v>
      </c>
      <c r="Y14" s="134">
        <f>SUM(G14,I14,K14,M14,O14,Q14,S14,U14,W14)</f>
        <v>0</v>
      </c>
    </row>
    <row r="15" spans="1:25">
      <c r="A15" s="102"/>
      <c r="B15" s="223"/>
      <c r="C15" s="223"/>
      <c r="D15" s="217" t="s">
        <v>153</v>
      </c>
      <c r="E15" s="218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34">
        <f>SUM(F15,H15,J15,L15,N15,P15,R15,T15,V15)</f>
        <v>0</v>
      </c>
      <c r="Y15" s="134">
        <f>SUM(G15,I15,K15,M15,O15,Q15,S15,U15,W15)</f>
        <v>0</v>
      </c>
    </row>
    <row r="16" spans="1:25">
      <c r="A16" s="102"/>
      <c r="B16" s="223"/>
      <c r="C16" s="224"/>
      <c r="D16" s="217" t="s">
        <v>154</v>
      </c>
      <c r="E16" s="218"/>
      <c r="F16" s="134">
        <f t="shared" ref="F16:W16" si="3">SUM(F11,F14,F15)</f>
        <v>0</v>
      </c>
      <c r="G16" s="134">
        <f t="shared" si="3"/>
        <v>0</v>
      </c>
      <c r="H16" s="134">
        <f t="shared" si="3"/>
        <v>0</v>
      </c>
      <c r="I16" s="134">
        <f t="shared" si="3"/>
        <v>0</v>
      </c>
      <c r="J16" s="134">
        <f t="shared" si="3"/>
        <v>0</v>
      </c>
      <c r="K16" s="134">
        <f t="shared" si="3"/>
        <v>0</v>
      </c>
      <c r="L16" s="134">
        <f t="shared" si="3"/>
        <v>0</v>
      </c>
      <c r="M16" s="134">
        <f t="shared" si="3"/>
        <v>0</v>
      </c>
      <c r="N16" s="134">
        <f t="shared" si="3"/>
        <v>0</v>
      </c>
      <c r="O16" s="134">
        <f t="shared" si="3"/>
        <v>0</v>
      </c>
      <c r="P16" s="134">
        <f t="shared" si="3"/>
        <v>0</v>
      </c>
      <c r="Q16" s="134">
        <f t="shared" si="3"/>
        <v>0</v>
      </c>
      <c r="R16" s="134">
        <f t="shared" si="3"/>
        <v>0</v>
      </c>
      <c r="S16" s="134">
        <f t="shared" si="3"/>
        <v>0</v>
      </c>
      <c r="T16" s="134">
        <f t="shared" si="3"/>
        <v>0</v>
      </c>
      <c r="U16" s="134">
        <f t="shared" si="3"/>
        <v>0</v>
      </c>
      <c r="V16" s="134">
        <f t="shared" si="3"/>
        <v>0</v>
      </c>
      <c r="W16" s="134">
        <f t="shared" si="3"/>
        <v>0</v>
      </c>
      <c r="X16" s="134">
        <f>SUM(F16,H16,J16,L16,N16,P16,R16,T16,V16)</f>
        <v>0</v>
      </c>
      <c r="Y16" s="134">
        <f>SUM(G16,I16,K16,M16,O16,Q16,S16,U16,W16)</f>
        <v>0</v>
      </c>
    </row>
    <row r="17" spans="1:25">
      <c r="A17" s="102"/>
      <c r="B17" s="223"/>
      <c r="C17" s="222" t="s">
        <v>216</v>
      </c>
      <c r="D17" s="217" t="s">
        <v>148</v>
      </c>
      <c r="E17" s="218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34">
        <f>SUM(F17,H17,J17,L17,N17,P17,R17,T17,V17)</f>
        <v>0</v>
      </c>
      <c r="Y17" s="134">
        <f>SUM(G17,I17,K17,M17,O17,Q17,S17,U17,W17)</f>
        <v>0</v>
      </c>
    </row>
    <row r="18" spans="1:25">
      <c r="A18" s="102"/>
      <c r="B18" s="223"/>
      <c r="C18" s="223"/>
      <c r="D18" s="219" t="s">
        <v>149</v>
      </c>
      <c r="E18" s="105" t="s">
        <v>150</v>
      </c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4">
        <f>SUM(F18,H18,J18,L18,N18,P18,R18,T18,V18)</f>
        <v>0</v>
      </c>
      <c r="Y18" s="134">
        <f>SUM(G18,I18,K18,M18,O18,Q18,S18,U18,W18)</f>
        <v>0</v>
      </c>
    </row>
    <row r="19" spans="1:25">
      <c r="A19" s="102"/>
      <c r="B19" s="223"/>
      <c r="C19" s="223"/>
      <c r="D19" s="220"/>
      <c r="E19" s="108" t="s">
        <v>151</v>
      </c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4">
        <f>SUM(F19,H19,J19,L19,N19,P19,R19,T19,V19)</f>
        <v>0</v>
      </c>
      <c r="Y19" s="134">
        <f>SUM(G19,I19,K19,M19,O19,Q19,S19,U19,W19)</f>
        <v>0</v>
      </c>
    </row>
    <row r="20" spans="1:25">
      <c r="A20" s="102"/>
      <c r="B20" s="223"/>
      <c r="C20" s="223"/>
      <c r="D20" s="221"/>
      <c r="E20" s="111" t="s">
        <v>152</v>
      </c>
      <c r="F20" s="137">
        <f>SUM(F18:F19)</f>
        <v>0</v>
      </c>
      <c r="G20" s="137">
        <f t="shared" ref="G20:W20" si="4">SUM(G18:G19)</f>
        <v>0</v>
      </c>
      <c r="H20" s="137">
        <f t="shared" si="4"/>
        <v>0</v>
      </c>
      <c r="I20" s="137">
        <f t="shared" si="4"/>
        <v>0</v>
      </c>
      <c r="J20" s="137">
        <f t="shared" si="4"/>
        <v>0</v>
      </c>
      <c r="K20" s="137">
        <f t="shared" si="4"/>
        <v>0</v>
      </c>
      <c r="L20" s="137">
        <f t="shared" si="4"/>
        <v>0</v>
      </c>
      <c r="M20" s="137">
        <f t="shared" si="4"/>
        <v>0</v>
      </c>
      <c r="N20" s="137">
        <f t="shared" si="4"/>
        <v>0</v>
      </c>
      <c r="O20" s="137">
        <f t="shared" si="4"/>
        <v>0</v>
      </c>
      <c r="P20" s="137">
        <f t="shared" si="4"/>
        <v>0</v>
      </c>
      <c r="Q20" s="137">
        <f t="shared" si="4"/>
        <v>0</v>
      </c>
      <c r="R20" s="137">
        <f t="shared" si="4"/>
        <v>0</v>
      </c>
      <c r="S20" s="137">
        <f t="shared" si="4"/>
        <v>0</v>
      </c>
      <c r="T20" s="137">
        <f t="shared" si="4"/>
        <v>0</v>
      </c>
      <c r="U20" s="137">
        <f t="shared" si="4"/>
        <v>0</v>
      </c>
      <c r="V20" s="137">
        <f t="shared" si="4"/>
        <v>0</v>
      </c>
      <c r="W20" s="137">
        <f t="shared" si="4"/>
        <v>0</v>
      </c>
      <c r="X20" s="134">
        <f>SUM(F20,H20,J20,L20,N20,P20,R20,T20,V20)</f>
        <v>0</v>
      </c>
      <c r="Y20" s="134">
        <f>SUM(G20,I20,K20,M20,O20,Q20,S20,U20,W20)</f>
        <v>0</v>
      </c>
    </row>
    <row r="21" spans="1:25">
      <c r="A21" s="102"/>
      <c r="B21" s="223"/>
      <c r="C21" s="223"/>
      <c r="D21" s="217" t="s">
        <v>153</v>
      </c>
      <c r="E21" s="218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34">
        <f>SUM(F21,H21,J21,L21,N21,P21,R21,T21,V21)</f>
        <v>0</v>
      </c>
      <c r="Y21" s="134">
        <f>SUM(G21,I21,K21,M21,O21,Q21,S21,U21,W21)</f>
        <v>0</v>
      </c>
    </row>
    <row r="22" spans="1:25">
      <c r="A22" s="102"/>
      <c r="B22" s="223"/>
      <c r="C22" s="224"/>
      <c r="D22" s="217" t="s">
        <v>154</v>
      </c>
      <c r="E22" s="218"/>
      <c r="F22" s="134">
        <f t="shared" ref="F22:W22" si="5">SUM(F17,F20,F21)</f>
        <v>0</v>
      </c>
      <c r="G22" s="134">
        <f t="shared" si="5"/>
        <v>0</v>
      </c>
      <c r="H22" s="134">
        <f t="shared" si="5"/>
        <v>0</v>
      </c>
      <c r="I22" s="134">
        <f t="shared" si="5"/>
        <v>0</v>
      </c>
      <c r="J22" s="134">
        <f t="shared" si="5"/>
        <v>0</v>
      </c>
      <c r="K22" s="134">
        <f t="shared" si="5"/>
        <v>0</v>
      </c>
      <c r="L22" s="134">
        <f t="shared" si="5"/>
        <v>0</v>
      </c>
      <c r="M22" s="134">
        <f t="shared" si="5"/>
        <v>0</v>
      </c>
      <c r="N22" s="134">
        <f t="shared" si="5"/>
        <v>0</v>
      </c>
      <c r="O22" s="134">
        <f t="shared" si="5"/>
        <v>0</v>
      </c>
      <c r="P22" s="134">
        <f t="shared" si="5"/>
        <v>0</v>
      </c>
      <c r="Q22" s="134">
        <f t="shared" si="5"/>
        <v>0</v>
      </c>
      <c r="R22" s="134">
        <f t="shared" si="5"/>
        <v>0</v>
      </c>
      <c r="S22" s="134">
        <f t="shared" si="5"/>
        <v>0</v>
      </c>
      <c r="T22" s="134">
        <f t="shared" si="5"/>
        <v>0</v>
      </c>
      <c r="U22" s="134">
        <f t="shared" si="5"/>
        <v>0</v>
      </c>
      <c r="V22" s="134">
        <f t="shared" si="5"/>
        <v>0</v>
      </c>
      <c r="W22" s="134">
        <f t="shared" si="5"/>
        <v>0</v>
      </c>
      <c r="X22" s="134">
        <f>SUM(F22,H22,J22,L22,N22,P22,R22,T22,V22)</f>
        <v>0</v>
      </c>
      <c r="Y22" s="134">
        <f>SUM(G22,I22,K22,M22,O22,Q22,S22,U22,W22)</f>
        <v>0</v>
      </c>
    </row>
    <row r="23" spans="1:25">
      <c r="A23" s="102"/>
      <c r="B23" s="224"/>
      <c r="C23" s="239" t="s">
        <v>158</v>
      </c>
      <c r="D23" s="240"/>
      <c r="E23" s="241"/>
      <c r="F23" s="134">
        <f>F16+F22</f>
        <v>0</v>
      </c>
      <c r="G23" s="134">
        <f t="shared" ref="G23:W23" si="6">G16+G22</f>
        <v>0</v>
      </c>
      <c r="H23" s="134">
        <f t="shared" si="6"/>
        <v>0</v>
      </c>
      <c r="I23" s="134">
        <f t="shared" si="6"/>
        <v>0</v>
      </c>
      <c r="J23" s="134">
        <f t="shared" si="6"/>
        <v>0</v>
      </c>
      <c r="K23" s="134">
        <f t="shared" si="6"/>
        <v>0</v>
      </c>
      <c r="L23" s="134">
        <f t="shared" si="6"/>
        <v>0</v>
      </c>
      <c r="M23" s="134">
        <f t="shared" si="6"/>
        <v>0</v>
      </c>
      <c r="N23" s="134">
        <f t="shared" si="6"/>
        <v>0</v>
      </c>
      <c r="O23" s="134">
        <f t="shared" si="6"/>
        <v>0</v>
      </c>
      <c r="P23" s="134">
        <f t="shared" si="6"/>
        <v>0</v>
      </c>
      <c r="Q23" s="134">
        <f t="shared" si="6"/>
        <v>0</v>
      </c>
      <c r="R23" s="134">
        <f t="shared" si="6"/>
        <v>0</v>
      </c>
      <c r="S23" s="134">
        <f t="shared" si="6"/>
        <v>0</v>
      </c>
      <c r="T23" s="134">
        <f t="shared" si="6"/>
        <v>0</v>
      </c>
      <c r="U23" s="134">
        <f t="shared" si="6"/>
        <v>0</v>
      </c>
      <c r="V23" s="134">
        <f t="shared" si="6"/>
        <v>0</v>
      </c>
      <c r="W23" s="134">
        <f t="shared" si="6"/>
        <v>0</v>
      </c>
      <c r="X23" s="134">
        <f>SUM(F23,H23,J23,L23,N23,P23,R23,T23,V23)</f>
        <v>0</v>
      </c>
      <c r="Y23" s="134">
        <f>SUM(G23,I23,K23,M23,O23,Q23,S23,U23,W23)</f>
        <v>0</v>
      </c>
    </row>
    <row r="24" spans="1:25">
      <c r="A24" s="102"/>
      <c r="B24" s="211" t="s">
        <v>159</v>
      </c>
      <c r="C24" s="212"/>
      <c r="D24" s="217" t="s">
        <v>148</v>
      </c>
      <c r="E24" s="218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34">
        <f>SUM(F24,H24,J24,L24,N24,P24,R24,T24,V24)</f>
        <v>0</v>
      </c>
      <c r="Y24" s="134">
        <f>SUM(G24,I24,K24,M24,O24,Q24,S24,U24,W24)</f>
        <v>0</v>
      </c>
    </row>
    <row r="25" spans="1:25">
      <c r="A25" s="102"/>
      <c r="B25" s="213"/>
      <c r="C25" s="214"/>
      <c r="D25" s="219" t="s">
        <v>149</v>
      </c>
      <c r="E25" s="105" t="s">
        <v>150</v>
      </c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4">
        <f>SUM(F25,H25,J25,L25,N25,P25,R25,T25,V25)</f>
        <v>0</v>
      </c>
      <c r="Y25" s="134">
        <f>SUM(G25,I25,K25,M25,O25,Q25,S25,U25,W25)</f>
        <v>0</v>
      </c>
    </row>
    <row r="26" spans="1:25">
      <c r="A26" s="102"/>
      <c r="B26" s="213"/>
      <c r="C26" s="214"/>
      <c r="D26" s="220"/>
      <c r="E26" s="108" t="s">
        <v>151</v>
      </c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4">
        <f>SUM(F26,H26,J26,L26,N26,P26,R26,T26,V26)</f>
        <v>0</v>
      </c>
      <c r="Y26" s="134">
        <f>SUM(G26,I26,K26,M26,O26,Q26,S26,U26,W26)</f>
        <v>0</v>
      </c>
    </row>
    <row r="27" spans="1:25">
      <c r="A27" s="102"/>
      <c r="B27" s="213"/>
      <c r="C27" s="214"/>
      <c r="D27" s="221"/>
      <c r="E27" s="111" t="s">
        <v>152</v>
      </c>
      <c r="F27" s="137">
        <f>SUM(F25:F26)</f>
        <v>0</v>
      </c>
      <c r="G27" s="137">
        <f t="shared" ref="G27:W27" si="7">SUM(G25:G26)</f>
        <v>0</v>
      </c>
      <c r="H27" s="137">
        <f t="shared" si="7"/>
        <v>0</v>
      </c>
      <c r="I27" s="137">
        <f t="shared" si="7"/>
        <v>0</v>
      </c>
      <c r="J27" s="137">
        <f t="shared" si="7"/>
        <v>0</v>
      </c>
      <c r="K27" s="137">
        <f t="shared" si="7"/>
        <v>0</v>
      </c>
      <c r="L27" s="137">
        <f t="shared" si="7"/>
        <v>0</v>
      </c>
      <c r="M27" s="137">
        <f t="shared" si="7"/>
        <v>0</v>
      </c>
      <c r="N27" s="137">
        <f t="shared" si="7"/>
        <v>0</v>
      </c>
      <c r="O27" s="137">
        <f t="shared" si="7"/>
        <v>0</v>
      </c>
      <c r="P27" s="137">
        <f t="shared" si="7"/>
        <v>0</v>
      </c>
      <c r="Q27" s="137">
        <f t="shared" si="7"/>
        <v>0</v>
      </c>
      <c r="R27" s="137">
        <f t="shared" si="7"/>
        <v>0</v>
      </c>
      <c r="S27" s="137">
        <f t="shared" si="7"/>
        <v>0</v>
      </c>
      <c r="T27" s="137">
        <f t="shared" si="7"/>
        <v>0</v>
      </c>
      <c r="U27" s="137">
        <f t="shared" si="7"/>
        <v>0</v>
      </c>
      <c r="V27" s="137">
        <f t="shared" si="7"/>
        <v>0</v>
      </c>
      <c r="W27" s="137">
        <f t="shared" si="7"/>
        <v>0</v>
      </c>
      <c r="X27" s="134">
        <f>SUM(F27,H27,J27,L27,N27,P27,R27,T27,V27)</f>
        <v>0</v>
      </c>
      <c r="Y27" s="134">
        <f>SUM(G27,I27,K27,M27,O27,Q27,S27,U27,W27)</f>
        <v>0</v>
      </c>
    </row>
    <row r="28" spans="1:25">
      <c r="A28" s="102"/>
      <c r="B28" s="213"/>
      <c r="C28" s="214"/>
      <c r="D28" s="217" t="s">
        <v>153</v>
      </c>
      <c r="E28" s="218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34">
        <f>SUM(F28,H28,J28,L28,N28,P28,R28,T28,V28)</f>
        <v>0</v>
      </c>
      <c r="Y28" s="134">
        <f>SUM(G28,I28,K28,M28,O28,Q28,S28,U28,W28)</f>
        <v>0</v>
      </c>
    </row>
    <row r="29" spans="1:25">
      <c r="A29" s="102"/>
      <c r="B29" s="215"/>
      <c r="C29" s="216"/>
      <c r="D29" s="217" t="s">
        <v>154</v>
      </c>
      <c r="E29" s="218"/>
      <c r="F29" s="134">
        <f t="shared" ref="F29:W29" si="8">SUM(F24,F27,F28)</f>
        <v>0</v>
      </c>
      <c r="G29" s="134">
        <f t="shared" si="8"/>
        <v>0</v>
      </c>
      <c r="H29" s="134">
        <f t="shared" si="8"/>
        <v>0</v>
      </c>
      <c r="I29" s="134">
        <f t="shared" si="8"/>
        <v>0</v>
      </c>
      <c r="J29" s="134">
        <f t="shared" si="8"/>
        <v>0</v>
      </c>
      <c r="K29" s="134">
        <f t="shared" si="8"/>
        <v>0</v>
      </c>
      <c r="L29" s="134">
        <f t="shared" si="8"/>
        <v>0</v>
      </c>
      <c r="M29" s="134">
        <f t="shared" si="8"/>
        <v>0</v>
      </c>
      <c r="N29" s="134">
        <f t="shared" si="8"/>
        <v>0</v>
      </c>
      <c r="O29" s="134">
        <f t="shared" si="8"/>
        <v>0</v>
      </c>
      <c r="P29" s="134">
        <f t="shared" si="8"/>
        <v>0</v>
      </c>
      <c r="Q29" s="134">
        <f t="shared" si="8"/>
        <v>0</v>
      </c>
      <c r="R29" s="134">
        <f t="shared" si="8"/>
        <v>0</v>
      </c>
      <c r="S29" s="134">
        <f t="shared" si="8"/>
        <v>0</v>
      </c>
      <c r="T29" s="134">
        <f t="shared" si="8"/>
        <v>0</v>
      </c>
      <c r="U29" s="134">
        <f t="shared" si="8"/>
        <v>0</v>
      </c>
      <c r="V29" s="134">
        <f t="shared" si="8"/>
        <v>0</v>
      </c>
      <c r="W29" s="134">
        <f t="shared" si="8"/>
        <v>0</v>
      </c>
      <c r="X29" s="134">
        <f>SUM(F29,H29,J29,L29,N29,P29,R29,T29,V29)</f>
        <v>0</v>
      </c>
      <c r="Y29" s="134">
        <f>SUM(G29,I29,K29,M29,O29,Q29,S29,U29,W29)</f>
        <v>0</v>
      </c>
    </row>
    <row r="30" spans="1:25">
      <c r="A30" s="102"/>
      <c r="B30" s="203" t="s">
        <v>144</v>
      </c>
      <c r="C30" s="204"/>
      <c r="D30" s="204"/>
      <c r="E30" s="205"/>
      <c r="F30" s="134">
        <f>SUM(F10,F23,F29)</f>
        <v>0</v>
      </c>
      <c r="G30" s="134">
        <f t="shared" ref="G30:W30" si="9">SUM(G10,G23,G29)</f>
        <v>0</v>
      </c>
      <c r="H30" s="134">
        <f t="shared" si="9"/>
        <v>0</v>
      </c>
      <c r="I30" s="134">
        <f t="shared" si="9"/>
        <v>0</v>
      </c>
      <c r="J30" s="134">
        <f t="shared" si="9"/>
        <v>0</v>
      </c>
      <c r="K30" s="134">
        <f t="shared" si="9"/>
        <v>0</v>
      </c>
      <c r="L30" s="134">
        <f t="shared" si="9"/>
        <v>0</v>
      </c>
      <c r="M30" s="134">
        <f t="shared" si="9"/>
        <v>0</v>
      </c>
      <c r="N30" s="134">
        <f t="shared" si="9"/>
        <v>0</v>
      </c>
      <c r="O30" s="134">
        <f t="shared" si="9"/>
        <v>0</v>
      </c>
      <c r="P30" s="134">
        <f t="shared" si="9"/>
        <v>0</v>
      </c>
      <c r="Q30" s="134">
        <f t="shared" si="9"/>
        <v>0</v>
      </c>
      <c r="R30" s="134">
        <f t="shared" si="9"/>
        <v>0</v>
      </c>
      <c r="S30" s="134">
        <f t="shared" si="9"/>
        <v>0</v>
      </c>
      <c r="T30" s="134">
        <f t="shared" si="9"/>
        <v>0</v>
      </c>
      <c r="U30" s="134">
        <f t="shared" si="9"/>
        <v>0</v>
      </c>
      <c r="V30" s="134">
        <f t="shared" si="9"/>
        <v>0</v>
      </c>
      <c r="W30" s="134">
        <f t="shared" si="9"/>
        <v>0</v>
      </c>
      <c r="X30" s="134">
        <f>SUM(F30,H30,J30,L30,N30,P30,R30,T30,V30)</f>
        <v>0</v>
      </c>
      <c r="Y30" s="134">
        <f>SUM(G30,I30,K30,M30,O30,Q30,S30,U30,W30)</f>
        <v>0</v>
      </c>
    </row>
    <row r="31" spans="1:25">
      <c r="A31" s="9"/>
      <c r="B31" s="9"/>
      <c r="C31" s="113"/>
      <c r="D31" s="113"/>
      <c r="E31" s="113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</row>
    <row r="32" spans="1:25">
      <c r="A32" s="116" t="s">
        <v>0</v>
      </c>
      <c r="B32" s="116"/>
      <c r="C32" s="116"/>
    </row>
    <row r="33" spans="1:18">
      <c r="A33" s="117" t="s">
        <v>217</v>
      </c>
      <c r="B33" s="117"/>
      <c r="C33" s="118"/>
      <c r="D33" s="8"/>
      <c r="E33" s="8"/>
      <c r="F33" s="8"/>
      <c r="G33" s="8"/>
      <c r="H33" s="8"/>
      <c r="I33" s="8"/>
      <c r="J33" s="8"/>
      <c r="K33" s="8"/>
    </row>
    <row r="34" spans="1:18">
      <c r="A34" s="117" t="s">
        <v>218</v>
      </c>
      <c r="B34" s="117"/>
      <c r="C34" s="118"/>
      <c r="D34" s="8"/>
      <c r="E34" s="8"/>
      <c r="F34" s="8"/>
      <c r="G34" s="8"/>
      <c r="H34" s="8"/>
      <c r="I34" s="8"/>
      <c r="J34" s="8"/>
      <c r="K34" s="8"/>
    </row>
    <row r="35" spans="1:18">
      <c r="A35" s="318" t="s">
        <v>219</v>
      </c>
      <c r="B35" s="92"/>
      <c r="C35" s="286"/>
      <c r="D35" s="92"/>
      <c r="E35" s="92"/>
      <c r="F35" s="92"/>
      <c r="G35" s="92"/>
      <c r="H35" s="92"/>
      <c r="I35" s="92"/>
      <c r="J35" s="92"/>
      <c r="K35" s="92"/>
      <c r="L35" s="94"/>
      <c r="M35" s="94"/>
      <c r="N35" s="94"/>
      <c r="O35" s="94"/>
      <c r="P35" s="94"/>
      <c r="Q35" s="94"/>
      <c r="R35" s="94"/>
    </row>
    <row r="36" spans="1:18" s="139" customFormat="1">
      <c r="A36" s="318" t="s">
        <v>220</v>
      </c>
      <c r="B36" s="318"/>
      <c r="C36" s="334"/>
      <c r="D36" s="318"/>
      <c r="E36" s="318"/>
      <c r="F36" s="318"/>
      <c r="G36" s="318"/>
      <c r="H36" s="318"/>
      <c r="I36" s="318"/>
      <c r="J36" s="335"/>
      <c r="K36" s="335"/>
      <c r="L36" s="335"/>
      <c r="M36" s="335"/>
      <c r="N36" s="335"/>
      <c r="O36" s="335"/>
      <c r="P36" s="335"/>
      <c r="Q36" s="335"/>
      <c r="R36" s="335"/>
    </row>
    <row r="37" spans="1:18">
      <c r="A37" s="116" t="s">
        <v>221</v>
      </c>
      <c r="B37" s="116"/>
      <c r="C37" s="8"/>
      <c r="D37" s="8"/>
      <c r="E37" s="8"/>
      <c r="F37" s="8"/>
      <c r="G37" s="8"/>
      <c r="H37" s="8"/>
      <c r="I37" s="8"/>
      <c r="J37" s="8"/>
      <c r="K37" s="8"/>
    </row>
    <row r="39" spans="1:18">
      <c r="A39" s="140"/>
      <c r="B39" s="140"/>
      <c r="E39" s="8"/>
      <c r="F39" s="8"/>
      <c r="G39" s="8"/>
    </row>
    <row r="40" spans="1:18" s="139" customFormat="1">
      <c r="A40" s="140"/>
      <c r="B40" s="140"/>
      <c r="C40" s="141"/>
      <c r="D40" s="140"/>
      <c r="E40" s="140"/>
      <c r="F40" s="140"/>
      <c r="G40" s="140"/>
      <c r="H40" s="140"/>
      <c r="I40" s="140"/>
    </row>
    <row r="41" spans="1:18" s="139" customFormat="1">
      <c r="A41" s="140"/>
      <c r="B41" s="140"/>
      <c r="C41" s="141"/>
      <c r="D41" s="140"/>
      <c r="E41" s="140"/>
      <c r="F41" s="140"/>
      <c r="G41" s="140"/>
      <c r="H41" s="140"/>
      <c r="I41" s="140"/>
    </row>
    <row r="43" spans="1:18">
      <c r="A43" s="140"/>
      <c r="B43" s="140"/>
      <c r="C43" s="118"/>
      <c r="D43" s="8"/>
      <c r="E43" s="8"/>
      <c r="F43" s="8"/>
      <c r="G43" s="8"/>
      <c r="H43" s="8"/>
      <c r="I43" s="8"/>
    </row>
    <row r="44" spans="1:18" s="139" customFormat="1">
      <c r="A44" s="140"/>
      <c r="B44" s="140"/>
      <c r="C44" s="141"/>
      <c r="D44" s="140"/>
      <c r="E44" s="140"/>
      <c r="F44" s="140"/>
      <c r="G44" s="140"/>
      <c r="H44" s="140"/>
      <c r="I44" s="140"/>
    </row>
    <row r="45" spans="1:18" s="139" customFormat="1">
      <c r="A45" s="140"/>
      <c r="B45" s="140"/>
      <c r="C45" s="141"/>
      <c r="D45" s="140"/>
      <c r="E45" s="140"/>
      <c r="F45" s="140"/>
      <c r="G45" s="140"/>
      <c r="H45" s="140"/>
      <c r="I45" s="140"/>
    </row>
  </sheetData>
  <mergeCells count="34">
    <mergeCell ref="X3:Y3"/>
    <mergeCell ref="B5:C10"/>
    <mergeCell ref="D5:E5"/>
    <mergeCell ref="D6:D8"/>
    <mergeCell ref="D9:E9"/>
    <mergeCell ref="D10:E10"/>
    <mergeCell ref="P3:Q3"/>
    <mergeCell ref="R3:S3"/>
    <mergeCell ref="T3:U3"/>
    <mergeCell ref="V3:W3"/>
    <mergeCell ref="A3:E4"/>
    <mergeCell ref="F3:G3"/>
    <mergeCell ref="H3:I3"/>
    <mergeCell ref="D18:D20"/>
    <mergeCell ref="D21:E21"/>
    <mergeCell ref="J3:K3"/>
    <mergeCell ref="L3:M3"/>
    <mergeCell ref="N3:O3"/>
    <mergeCell ref="B30:E30"/>
    <mergeCell ref="D22:E22"/>
    <mergeCell ref="C23:E23"/>
    <mergeCell ref="B24:C29"/>
    <mergeCell ref="D24:E24"/>
    <mergeCell ref="D25:D27"/>
    <mergeCell ref="D28:E28"/>
    <mergeCell ref="D29:E29"/>
    <mergeCell ref="B11:B23"/>
    <mergeCell ref="C11:C16"/>
    <mergeCell ref="D11:E11"/>
    <mergeCell ref="D12:D14"/>
    <mergeCell ref="D15:E15"/>
    <mergeCell ref="D16:E16"/>
    <mergeCell ref="C17:C22"/>
    <mergeCell ref="D17:E17"/>
  </mergeCells>
  <phoneticPr fontId="7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B8820-72BA-452B-B567-DD831E539FC2}">
  <sheetPr>
    <pageSetUpPr fitToPage="1"/>
  </sheetPr>
  <dimension ref="A1:H14"/>
  <sheetViews>
    <sheetView showGridLines="0" view="pageBreakPreview" zoomScaleNormal="85" zoomScaleSheetLayoutView="100" workbookViewId="0">
      <selection activeCell="J12" sqref="J12"/>
    </sheetView>
  </sheetViews>
  <sheetFormatPr defaultRowHeight="16.5"/>
  <cols>
    <col min="1" max="2" width="24.109375" style="82" customWidth="1"/>
    <col min="3" max="3" width="15.21875" style="82" customWidth="1"/>
    <col min="4" max="4" width="17.77734375" style="82" customWidth="1"/>
    <col min="5" max="5" width="17.5546875" style="82" customWidth="1"/>
    <col min="6" max="6" width="15.5546875" style="82" customWidth="1"/>
    <col min="7" max="16384" width="8.88671875" style="82"/>
  </cols>
  <sheetData>
    <row r="1" spans="1:8" ht="40.5" customHeight="1">
      <c r="A1" s="337" t="s">
        <v>301</v>
      </c>
      <c r="B1" s="337"/>
      <c r="C1" s="3"/>
      <c r="D1" s="3"/>
      <c r="E1" s="3"/>
      <c r="F1" s="3"/>
      <c r="G1" s="3"/>
      <c r="H1" s="3"/>
    </row>
    <row r="2" spans="1:8">
      <c r="A2" s="3"/>
      <c r="B2" s="3"/>
      <c r="C2" s="39"/>
      <c r="D2" s="3"/>
      <c r="E2" s="3"/>
      <c r="F2" s="3"/>
      <c r="G2" s="3"/>
      <c r="H2" s="3"/>
    </row>
    <row r="3" spans="1:8">
      <c r="A3" s="3"/>
      <c r="B3" s="3"/>
      <c r="C3" s="40"/>
      <c r="D3" s="3"/>
      <c r="E3" s="35"/>
      <c r="F3" s="35" t="s">
        <v>2</v>
      </c>
      <c r="G3" s="3"/>
      <c r="H3" s="3"/>
    </row>
    <row r="4" spans="1:8" ht="26.25" customHeight="1">
      <c r="A4" s="49" t="s">
        <v>12</v>
      </c>
      <c r="B4" s="49" t="s">
        <v>3</v>
      </c>
      <c r="C4" s="50" t="s">
        <v>4</v>
      </c>
      <c r="D4" s="74" t="s">
        <v>121</v>
      </c>
      <c r="E4" s="74" t="s">
        <v>122</v>
      </c>
      <c r="F4" s="171" t="s">
        <v>5</v>
      </c>
      <c r="G4" s="3"/>
      <c r="H4" s="3"/>
    </row>
    <row r="5" spans="1:8" ht="26.25" customHeight="1">
      <c r="A5" s="336" t="s">
        <v>116</v>
      </c>
      <c r="B5" s="52"/>
      <c r="C5" s="53"/>
      <c r="D5" s="36"/>
      <c r="E5" s="10"/>
      <c r="F5" s="54" t="e">
        <f>E5/D5</f>
        <v>#DIV/0!</v>
      </c>
      <c r="G5" s="3"/>
      <c r="H5" s="3"/>
    </row>
    <row r="6" spans="1:8" ht="26.25" customHeight="1">
      <c r="A6" s="336" t="s">
        <v>117</v>
      </c>
      <c r="B6" s="52"/>
      <c r="C6" s="53"/>
      <c r="D6" s="36"/>
      <c r="E6" s="10"/>
      <c r="F6" s="54" t="e">
        <f>E6/D6</f>
        <v>#DIV/0!</v>
      </c>
      <c r="G6" s="3"/>
      <c r="H6" s="3"/>
    </row>
    <row r="7" spans="1:8" ht="26.25" customHeight="1">
      <c r="A7" s="52" t="s">
        <v>123</v>
      </c>
      <c r="B7" s="52"/>
      <c r="C7" s="53"/>
      <c r="D7" s="36"/>
      <c r="E7" s="10"/>
      <c r="F7" s="54" t="e">
        <f>E7/D7</f>
        <v>#DIV/0!</v>
      </c>
      <c r="G7" s="3"/>
      <c r="H7" s="3"/>
    </row>
    <row r="8" spans="1:8">
      <c r="A8" s="12"/>
      <c r="B8" s="12"/>
      <c r="C8" s="11"/>
      <c r="D8" s="13"/>
      <c r="E8" s="13"/>
      <c r="F8" s="13"/>
      <c r="G8" s="3"/>
      <c r="H8" s="3"/>
    </row>
    <row r="9" spans="1:8" ht="25.5" customHeight="1">
      <c r="A9" s="2" t="s">
        <v>0</v>
      </c>
      <c r="B9" s="2"/>
      <c r="C9" s="3"/>
      <c r="D9" s="3"/>
      <c r="E9" s="3"/>
      <c r="F9" s="3"/>
      <c r="G9" s="3"/>
      <c r="H9" s="3"/>
    </row>
    <row r="10" spans="1:8" ht="25.5" customHeight="1">
      <c r="A10" s="4" t="s">
        <v>118</v>
      </c>
      <c r="B10" s="4"/>
      <c r="C10" s="3"/>
      <c r="D10" s="3"/>
      <c r="E10" s="3"/>
      <c r="F10" s="3"/>
      <c r="G10" s="3"/>
      <c r="H10" s="3"/>
    </row>
    <row r="11" spans="1:8" ht="25.5" customHeight="1">
      <c r="A11" s="79" t="s">
        <v>119</v>
      </c>
      <c r="B11" s="4"/>
      <c r="C11" s="3"/>
      <c r="D11" s="3"/>
      <c r="E11" s="3"/>
      <c r="F11" s="3"/>
      <c r="G11" s="3"/>
      <c r="H11" s="3"/>
    </row>
    <row r="12" spans="1:8" ht="25.5" customHeight="1">
      <c r="A12" s="79" t="s">
        <v>120</v>
      </c>
      <c r="B12" s="4"/>
      <c r="C12" s="3"/>
      <c r="D12" s="3"/>
      <c r="E12" s="3"/>
      <c r="F12" s="3"/>
      <c r="G12" s="3"/>
      <c r="H12" s="3"/>
    </row>
    <row r="13" spans="1:8" s="8" customFormat="1" ht="22.5" customHeight="1">
      <c r="A13" s="80" t="s">
        <v>115</v>
      </c>
    </row>
    <row r="14" spans="1:8" s="8" customFormat="1" ht="20.25" customHeight="1">
      <c r="A14" s="80" t="s">
        <v>300</v>
      </c>
    </row>
  </sheetData>
  <sheetProtection formatCells="0" formatColumns="0" formatRows="0"/>
  <phoneticPr fontId="78" type="noConversion"/>
  <pageMargins left="0.70866141732283472" right="0.70866141732283472" top="0.74803149606299213" bottom="0.74803149606299213" header="0.31496062992125984" footer="0.31496062992125984"/>
  <pageSetup paperSize="9" scale="66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FFFF00"/>
    <pageSetUpPr fitToPage="1"/>
  </sheetPr>
  <dimension ref="A1:I17"/>
  <sheetViews>
    <sheetView view="pageBreakPreview" zoomScale="60" zoomScaleNormal="70" workbookViewId="0">
      <selection sqref="A1:G1"/>
    </sheetView>
  </sheetViews>
  <sheetFormatPr defaultColWidth="8.88671875" defaultRowHeight="16.5"/>
  <cols>
    <col min="1" max="1" width="8.88671875" style="82"/>
    <col min="2" max="2" width="35.109375" style="73" customWidth="1"/>
    <col min="3" max="3" width="24.109375" style="73" customWidth="1"/>
    <col min="4" max="4" width="15.21875" style="73" customWidth="1"/>
    <col min="5" max="5" width="17.77734375" style="73" customWidth="1"/>
    <col min="6" max="6" width="17.5546875" style="73" customWidth="1"/>
    <col min="7" max="7" width="15.5546875" style="73" customWidth="1"/>
    <col min="8" max="16384" width="8.88671875" style="73"/>
  </cols>
  <sheetData>
    <row r="1" spans="1:9" s="77" customFormat="1" ht="26.25" customHeight="1">
      <c r="A1" s="343" t="s">
        <v>302</v>
      </c>
      <c r="B1" s="94"/>
      <c r="C1" s="343"/>
      <c r="D1" s="344"/>
      <c r="E1" s="344"/>
      <c r="F1" s="344"/>
      <c r="G1" s="344"/>
      <c r="H1" s="3"/>
      <c r="I1" s="3"/>
    </row>
    <row r="2" spans="1:9" s="77" customFormat="1">
      <c r="A2" s="82"/>
      <c r="B2" s="3"/>
      <c r="C2" s="3"/>
      <c r="D2" s="39"/>
      <c r="E2" s="3"/>
      <c r="F2" s="3"/>
      <c r="G2" s="3"/>
      <c r="H2" s="3"/>
      <c r="I2" s="3"/>
    </row>
    <row r="3" spans="1:9" s="77" customFormat="1">
      <c r="A3" s="82"/>
      <c r="B3" s="3"/>
      <c r="C3" s="3"/>
      <c r="D3" s="40"/>
      <c r="E3" s="3"/>
      <c r="F3" s="35"/>
      <c r="G3" s="35" t="s">
        <v>2</v>
      </c>
      <c r="H3" s="3"/>
      <c r="I3" s="3"/>
    </row>
    <row r="4" spans="1:9" s="77" customFormat="1" ht="26.25" customHeight="1">
      <c r="A4" s="253" t="s">
        <v>12</v>
      </c>
      <c r="B4" s="254"/>
      <c r="C4" s="49" t="s">
        <v>3</v>
      </c>
      <c r="D4" s="50" t="s">
        <v>4</v>
      </c>
      <c r="E4" s="74" t="s">
        <v>121</v>
      </c>
      <c r="F4" s="74" t="s">
        <v>122</v>
      </c>
      <c r="G4" s="51" t="s">
        <v>5</v>
      </c>
      <c r="H4" s="3"/>
      <c r="I4" s="3"/>
    </row>
    <row r="5" spans="1:9" s="77" customFormat="1" ht="26.25" customHeight="1">
      <c r="A5" s="249" t="s">
        <v>116</v>
      </c>
      <c r="B5" s="250"/>
      <c r="C5" s="52"/>
      <c r="D5" s="53"/>
      <c r="E5" s="36"/>
      <c r="F5" s="10"/>
      <c r="G5" s="54" t="e">
        <f>F5/E5</f>
        <v>#DIV/0!</v>
      </c>
      <c r="H5" s="3"/>
      <c r="I5" s="3"/>
    </row>
    <row r="6" spans="1:9" s="82" customFormat="1" ht="26.25" customHeight="1">
      <c r="A6" s="338"/>
      <c r="B6" s="339" t="s">
        <v>131</v>
      </c>
      <c r="C6" s="340"/>
      <c r="D6" s="53"/>
      <c r="E6" s="341"/>
      <c r="F6" s="103"/>
      <c r="G6" s="342" t="e">
        <f>F6/E6</f>
        <v>#DIV/0!</v>
      </c>
      <c r="H6" s="3"/>
      <c r="I6" s="3"/>
    </row>
    <row r="7" spans="1:9" s="77" customFormat="1" ht="26.25" customHeight="1">
      <c r="A7" s="251" t="s">
        <v>117</v>
      </c>
      <c r="B7" s="251"/>
      <c r="C7" s="52"/>
      <c r="D7" s="53"/>
      <c r="E7" s="36"/>
      <c r="F7" s="10"/>
      <c r="G7" s="54" t="e">
        <f>F7/E7</f>
        <v>#DIV/0!</v>
      </c>
      <c r="H7" s="3"/>
      <c r="I7" s="3"/>
    </row>
    <row r="8" spans="1:9" s="77" customFormat="1" ht="26.25" customHeight="1">
      <c r="A8" s="252" t="s">
        <v>123</v>
      </c>
      <c r="B8" s="252"/>
      <c r="C8" s="52"/>
      <c r="D8" s="53"/>
      <c r="E8" s="36"/>
      <c r="F8" s="10"/>
      <c r="G8" s="54" t="e">
        <f>F8/E8</f>
        <v>#DIV/0!</v>
      </c>
      <c r="H8" s="3"/>
      <c r="I8" s="3"/>
    </row>
    <row r="9" spans="1:9" s="77" customFormat="1">
      <c r="A9" s="82"/>
      <c r="B9" s="12"/>
      <c r="C9" s="12"/>
      <c r="D9" s="11"/>
      <c r="E9" s="13"/>
      <c r="F9" s="13"/>
      <c r="G9" s="13"/>
      <c r="H9" s="3"/>
      <c r="I9" s="3"/>
    </row>
    <row r="10" spans="1:9" s="77" customFormat="1" ht="25.5" customHeight="1">
      <c r="A10" s="2" t="s">
        <v>0</v>
      </c>
      <c r="C10" s="2"/>
      <c r="D10" s="3"/>
      <c r="E10" s="3"/>
      <c r="F10" s="3"/>
      <c r="G10" s="3"/>
      <c r="H10" s="3"/>
      <c r="I10" s="3"/>
    </row>
    <row r="11" spans="1:9" s="77" customFormat="1" ht="25.5" customHeight="1">
      <c r="A11" s="4" t="s">
        <v>118</v>
      </c>
      <c r="C11" s="4"/>
      <c r="D11" s="3"/>
      <c r="E11" s="3"/>
      <c r="F11" s="3"/>
      <c r="G11" s="3"/>
      <c r="H11" s="3"/>
      <c r="I11" s="3"/>
    </row>
    <row r="12" spans="1:9" s="77" customFormat="1" ht="25.5" customHeight="1">
      <c r="A12" s="79" t="s">
        <v>119</v>
      </c>
      <c r="C12" s="4"/>
      <c r="D12" s="3"/>
      <c r="E12" s="3"/>
      <c r="F12" s="3"/>
      <c r="G12" s="3"/>
      <c r="H12" s="3"/>
      <c r="I12" s="3"/>
    </row>
    <row r="13" spans="1:9" s="77" customFormat="1" ht="25.5" customHeight="1">
      <c r="A13" s="79" t="s">
        <v>120</v>
      </c>
      <c r="C13" s="4"/>
      <c r="D13" s="3"/>
      <c r="E13" s="3"/>
      <c r="F13" s="3"/>
      <c r="G13" s="3"/>
      <c r="H13" s="3"/>
      <c r="I13" s="3"/>
    </row>
    <row r="14" spans="1:9" s="8" customFormat="1" ht="22.5" customHeight="1">
      <c r="A14" s="80" t="s">
        <v>115</v>
      </c>
    </row>
    <row r="15" spans="1:9" s="8" customFormat="1" ht="22.5" customHeight="1">
      <c r="A15" s="318" t="s">
        <v>260</v>
      </c>
      <c r="B15" s="92"/>
      <c r="C15" s="92"/>
      <c r="D15" s="92"/>
      <c r="E15" s="92"/>
      <c r="F15" s="92"/>
      <c r="G15" s="92"/>
    </row>
    <row r="16" spans="1:9" s="8" customFormat="1" ht="20.25" customHeight="1">
      <c r="A16" s="91" t="s">
        <v>261</v>
      </c>
      <c r="B16" s="92"/>
      <c r="C16" s="92"/>
      <c r="D16" s="92"/>
      <c r="E16" s="92"/>
      <c r="F16" s="92"/>
      <c r="G16" s="92"/>
    </row>
    <row r="17" spans="1:1" s="77" customFormat="1">
      <c r="A17" s="82"/>
    </row>
  </sheetData>
  <sheetProtection formatCells="0" formatColumns="0" formatRows="0"/>
  <mergeCells count="4">
    <mergeCell ref="A5:B5"/>
    <mergeCell ref="A7:B7"/>
    <mergeCell ref="A8:B8"/>
    <mergeCell ref="A4:B4"/>
  </mergeCells>
  <phoneticPr fontId="78" type="noConversion"/>
  <pageMargins left="0.70866141732283472" right="0.70866141732283472" top="0.74803149606299213" bottom="0.74803149606299213" header="0.31496062992125984" footer="0.31496062992125984"/>
  <pageSetup paperSize="9" scale="5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C4308-F025-4BA4-8FF7-43B6E5552D81}">
  <sheetPr>
    <tabColor rgb="FFFFFF00"/>
  </sheetPr>
  <dimension ref="A1:I20"/>
  <sheetViews>
    <sheetView workbookViewId="0">
      <selection activeCell="D27" sqref="D27"/>
    </sheetView>
  </sheetViews>
  <sheetFormatPr defaultColWidth="8" defaultRowHeight="13.5" customHeight="1"/>
  <cols>
    <col min="1" max="1" width="29.21875" style="84" bestFit="1" customWidth="1"/>
    <col min="2" max="2" width="30.88671875" style="84" customWidth="1"/>
    <col min="3" max="3" width="30.109375" style="84" customWidth="1"/>
    <col min="4" max="4" width="22.21875" style="84" customWidth="1"/>
    <col min="5" max="5" width="22.109375" style="84" customWidth="1"/>
    <col min="6" max="6" width="23.6640625" style="84" customWidth="1"/>
    <col min="7" max="7" width="8.88671875" style="84" customWidth="1"/>
    <col min="8" max="8" width="9.33203125" style="84" customWidth="1"/>
    <col min="9" max="16384" width="8" style="84"/>
  </cols>
  <sheetData>
    <row r="1" spans="1:9" ht="33.75" customHeight="1">
      <c r="A1" s="343" t="s">
        <v>303</v>
      </c>
      <c r="D1" s="87"/>
    </row>
    <row r="2" spans="1:9" ht="17.25" customHeight="1">
      <c r="A2" s="343"/>
      <c r="D2" s="87"/>
    </row>
    <row r="3" spans="1:9" s="85" customFormat="1" ht="13.5" customHeight="1">
      <c r="A3" s="3"/>
      <c r="B3" s="3"/>
      <c r="C3" s="40"/>
      <c r="D3" s="3"/>
      <c r="E3" s="35"/>
      <c r="F3" s="35" t="s">
        <v>136</v>
      </c>
    </row>
    <row r="4" spans="1:9" s="85" customFormat="1" ht="18" customHeight="1">
      <c r="A4" s="253" t="s">
        <v>263</v>
      </c>
      <c r="B4" s="254"/>
      <c r="C4" s="253" t="s">
        <v>133</v>
      </c>
      <c r="D4" s="255"/>
      <c r="E4" s="255"/>
      <c r="F4" s="254"/>
    </row>
    <row r="5" spans="1:9" s="85" customFormat="1" ht="18" customHeight="1">
      <c r="A5" s="257" t="s">
        <v>262</v>
      </c>
      <c r="B5" s="258" t="s">
        <v>132</v>
      </c>
      <c r="C5" s="261" t="s">
        <v>134</v>
      </c>
      <c r="D5" s="256" t="s">
        <v>135</v>
      </c>
      <c r="E5" s="256"/>
      <c r="F5" s="259" t="s">
        <v>122</v>
      </c>
    </row>
    <row r="6" spans="1:9" s="85" customFormat="1" ht="18" customHeight="1">
      <c r="A6" s="257"/>
      <c r="B6" s="258"/>
      <c r="C6" s="262"/>
      <c r="D6" s="90" t="s">
        <v>264</v>
      </c>
      <c r="E6" s="90" t="s">
        <v>265</v>
      </c>
      <c r="F6" s="260"/>
    </row>
    <row r="7" spans="1:9" s="85" customFormat="1" ht="18" customHeight="1">
      <c r="A7" s="88"/>
      <c r="B7" s="89"/>
      <c r="C7" s="88"/>
      <c r="D7" s="88"/>
      <c r="E7" s="88"/>
      <c r="F7" s="88"/>
    </row>
    <row r="8" spans="1:9" s="85" customFormat="1" ht="13.5" customHeight="1">
      <c r="E8" s="86"/>
      <c r="F8" s="86"/>
    </row>
    <row r="9" spans="1:9" ht="13.5" customHeight="1">
      <c r="A9" s="2" t="s">
        <v>0</v>
      </c>
      <c r="B9" s="82"/>
      <c r="C9" s="2"/>
      <c r="D9" s="3"/>
      <c r="E9" s="3"/>
      <c r="F9" s="3"/>
      <c r="G9" s="3"/>
    </row>
    <row r="10" spans="1:9" ht="13.5" customHeight="1">
      <c r="A10" s="4" t="s">
        <v>266</v>
      </c>
      <c r="B10" s="82"/>
      <c r="C10" s="4"/>
      <c r="D10" s="3"/>
      <c r="E10" s="3"/>
      <c r="F10" s="3"/>
      <c r="G10" s="3"/>
    </row>
    <row r="11" spans="1:9" ht="13.5" customHeight="1">
      <c r="A11" s="79" t="s">
        <v>268</v>
      </c>
      <c r="B11" s="82"/>
      <c r="C11" s="4"/>
      <c r="D11" s="3"/>
      <c r="E11" s="3"/>
      <c r="F11" s="3"/>
      <c r="G11" s="3"/>
    </row>
    <row r="12" spans="1:9" ht="13.5" customHeight="1">
      <c r="A12" s="79" t="s">
        <v>267</v>
      </c>
      <c r="B12" s="82"/>
      <c r="C12" s="4"/>
      <c r="D12" s="3"/>
      <c r="E12" s="3"/>
      <c r="F12" s="3"/>
      <c r="G12" s="3"/>
    </row>
    <row r="13" spans="1:9" ht="13.5" customHeight="1">
      <c r="A13" s="91"/>
      <c r="B13" s="92"/>
      <c r="C13" s="92"/>
      <c r="D13" s="92"/>
      <c r="E13" s="92"/>
      <c r="F13" s="92"/>
      <c r="G13" s="92"/>
      <c r="H13" s="93"/>
      <c r="I13" s="93"/>
    </row>
    <row r="14" spans="1:9" ht="13.5" customHeight="1">
      <c r="A14" s="91"/>
      <c r="B14" s="92"/>
      <c r="C14" s="92"/>
      <c r="D14" s="92"/>
      <c r="E14" s="92"/>
      <c r="F14" s="92"/>
      <c r="G14" s="92"/>
      <c r="H14" s="93"/>
      <c r="I14" s="93"/>
    </row>
    <row r="15" spans="1:9" ht="13.5" customHeight="1">
      <c r="A15" s="91"/>
      <c r="B15" s="92"/>
      <c r="C15" s="92"/>
      <c r="D15" s="92"/>
      <c r="E15" s="92"/>
      <c r="F15" s="92"/>
      <c r="G15" s="92"/>
      <c r="H15" s="93"/>
      <c r="I15" s="93"/>
    </row>
    <row r="16" spans="1:9" ht="13.5" customHeight="1">
      <c r="A16" s="94"/>
      <c r="B16" s="94"/>
      <c r="C16" s="94"/>
      <c r="D16" s="94"/>
      <c r="E16" s="94"/>
      <c r="F16" s="94"/>
      <c r="G16" s="94"/>
      <c r="H16" s="93"/>
      <c r="I16" s="93"/>
    </row>
    <row r="17" spans="1:9" ht="13.5" customHeight="1">
      <c r="A17" s="93"/>
      <c r="B17" s="93"/>
      <c r="C17" s="93"/>
      <c r="D17" s="93"/>
      <c r="E17" s="93"/>
      <c r="F17" s="93"/>
      <c r="G17" s="93"/>
      <c r="H17" s="93"/>
      <c r="I17" s="93"/>
    </row>
    <row r="18" spans="1:9" ht="13.5" customHeight="1">
      <c r="A18" s="93"/>
      <c r="B18" s="93"/>
      <c r="C18" s="93"/>
      <c r="D18" s="93"/>
      <c r="E18" s="93"/>
      <c r="F18" s="93"/>
      <c r="G18" s="93"/>
      <c r="H18" s="93"/>
      <c r="I18" s="93"/>
    </row>
    <row r="19" spans="1:9" ht="13.5" customHeight="1">
      <c r="A19" s="93"/>
      <c r="B19" s="93"/>
      <c r="C19" s="93"/>
      <c r="D19" s="93"/>
      <c r="E19" s="93"/>
      <c r="F19" s="93"/>
      <c r="G19" s="93"/>
      <c r="H19" s="93"/>
      <c r="I19" s="93"/>
    </row>
    <row r="20" spans="1:9" ht="13.5" customHeight="1">
      <c r="A20" s="93"/>
      <c r="B20" s="93"/>
      <c r="C20" s="93"/>
      <c r="D20" s="93"/>
      <c r="E20" s="93"/>
      <c r="F20" s="93"/>
      <c r="G20" s="93"/>
      <c r="H20" s="93"/>
      <c r="I20" s="93"/>
    </row>
  </sheetData>
  <mergeCells count="7">
    <mergeCell ref="A4:B4"/>
    <mergeCell ref="C4:F4"/>
    <mergeCell ref="D5:E5"/>
    <mergeCell ref="A5:A6"/>
    <mergeCell ref="B5:B6"/>
    <mergeCell ref="F5:F6"/>
    <mergeCell ref="C5:C6"/>
  </mergeCells>
  <phoneticPr fontId="78" type="noConversion"/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19</vt:i4>
      </vt:variant>
      <vt:variant>
        <vt:lpstr>이름 지정된 범위</vt:lpstr>
      </vt:variant>
      <vt:variant>
        <vt:i4>10</vt:i4>
      </vt:variant>
    </vt:vector>
  </HeadingPairs>
  <TitlesOfParts>
    <vt:vector size="29" baseType="lpstr">
      <vt:lpstr>1-1.회사개황</vt:lpstr>
      <vt:lpstr>1-1.회사개황(개정안)</vt:lpstr>
      <vt:lpstr>1-6.임원 및 보호감시인 현황</vt:lpstr>
      <vt:lpstr>1-6.임직원 및 보호감시인 현황(개정안)</vt:lpstr>
      <vt:lpstr>1-7.임원 및 보호감시인 이력서</vt:lpstr>
      <vt:lpstr>1-7.임직원 및 보호감시인 이력서(개정안)</vt:lpstr>
      <vt:lpstr>1-11.법규준수현황</vt:lpstr>
      <vt:lpstr>1-11.법규준수현황(개정안)</vt:lpstr>
      <vt:lpstr>4-2.금액대별 신규취급 현황</vt:lpstr>
      <vt:lpstr>4-2.금액대별 신규취급 현황(개정안)</vt:lpstr>
      <vt:lpstr>4-6.대출신청유형별대출명세</vt:lpstr>
      <vt:lpstr>4-6.대출신청유형별대출명세(개정안)</vt:lpstr>
      <vt:lpstr>6-2 .금리구간대별 대출현황</vt:lpstr>
      <vt:lpstr>6-2 .금리구간대별 대출현황(개정안)</vt:lpstr>
      <vt:lpstr>6-3.금리구간대별 신규취급현황</vt:lpstr>
      <vt:lpstr>6-3.금리구간대별 신규취급현황(개정안)</vt:lpstr>
      <vt:lpstr>10. 대부중개 현황</vt:lpstr>
      <vt:lpstr>10-1. 대부중개 현황(개정안)</vt:lpstr>
      <vt:lpstr>10-2. 대부중개시스템 활용 대부중개 현황(신설)</vt:lpstr>
      <vt:lpstr>'10. 대부중개 현황'!Print_Area</vt:lpstr>
      <vt:lpstr>'10-1. 대부중개 현황(개정안)'!Print_Area</vt:lpstr>
      <vt:lpstr>'1-1.회사개황'!Print_Area</vt:lpstr>
      <vt:lpstr>'1-1.회사개황(개정안)'!Print_Area</vt:lpstr>
      <vt:lpstr>'1-11.법규준수현황'!Print_Area</vt:lpstr>
      <vt:lpstr>'1-11.법규준수현황(개정안)'!Print_Area</vt:lpstr>
      <vt:lpstr>'1-6.임원 및 보호감시인 현황'!Print_Area</vt:lpstr>
      <vt:lpstr>'1-6.임직원 및 보호감시인 현황(개정안)'!Print_Area</vt:lpstr>
      <vt:lpstr>'1-7.임원 및 보호감시인 이력서'!Print_Area</vt:lpstr>
      <vt:lpstr>'1-7.임직원 및 보호감시인 이력서(개정안)'!Print_Area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FSS_NT551XDA</cp:lastModifiedBy>
  <cp:lastPrinted>2016-03-25T05:52:00Z</cp:lastPrinted>
  <dcterms:created xsi:type="dcterms:W3CDTF">2009-04-07T09:00:08Z</dcterms:created>
  <dcterms:modified xsi:type="dcterms:W3CDTF">2025-05-19T01:11:37Z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xNzM5IiwibG9nVGltZSI6IjIwMjUtMDQtMjJUMDE6NDU6MzdaIiwicElEIjoxLCJ0cmFjZUlkIjoiNzREQ0U1MEUyMEVCNDkwNEIwNjBEM0Y5OEI5OUNDODYiLCJ1c2VyQ29kZSI6IjIxMzA5ODkifSwibm9kZTIiOnsiZHNkIjoiMDEwMDAwMDAwMDAwMTczOSIsImxvZ1RpbWUiOiIyMDI1LTA0LTIyVDA3OjE3OjExWiIsInBJRCI6MSwidHJhY2VJZCI6IjM3ODIxREM1MkQwRTQ2MDQ5NTBEMzgyQjQ5M0M4MEEzIiwidXNlckNvZGUiOiIyMjMyMDE1In0sIm5vZGUzIjp7ImRzZCI6IjAxMDAwMDAwMDAwMDE3MzkiLCJsb2dUaW1lIjoiMjAyNS0wNS0xNlQwNTo1OTo0N1oiLCJwSUQiOjEsInRyYWNlSWQiOiI5NDNDM0RCMTVFMjU0REFFQkEwNjQwN0JCMzU0QUQxMiIsInVzZXJDb2RlIjoiMjIzMjAxNSJ9LCJub2RlNCI6eyJkc2QiOiIwMTAwMDAwMDAwMDAxNzM5IiwibG9nVGltZSI6IjIwMjUtMDUtMTlUMDE6MTA6MzdaIiwicElEIjoxLCJ0cmFjZUlkIjoiRTBGQjMzRTA2QjgzNEIzMTkxRDE0ODg4ODRDRTIyMkEiLCJ1c2VyQ29kZSI6IjIyMzIwMTUifSwibm9kZTUiOnsiZHNkIjoiMDAwMDAwMDAwMDAwMDAwMCIsImxvZ1RpbWUiOiIyMDI1LTA1LTIwVDA2OjU1OjAyWiIsInBJRCI6MjA0OCwidHJhY2VJZCI6IkQwRURDMzM3NTEzNzQwMjhCREUyRTBEQjZEMzA1Mzc0IiwidXNlckNvZGUiOiIyMjMyMDE1In0sIm5vZGVDb3VudCI6MTJ9</vt:lpwstr>
  </property>
</Properties>
</file>